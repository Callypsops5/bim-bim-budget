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ann\OneDrive\Bureau\BUDGET CODY\"/>
    </mc:Choice>
  </mc:AlternateContent>
  <xr:revisionPtr revIDLastSave="0" documentId="13_ncr:1_{B1FC08DC-5605-4C83-B0C4-7A4C8B7DBEC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vier" sheetId="1" r:id="rId1"/>
    <sheet name="Février" sheetId="2" r:id="rId2"/>
    <sheet name="Mars" sheetId="3" r:id="rId3"/>
    <sheet name="Avr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" l="1"/>
  <c r="B29" i="4"/>
  <c r="B35" i="4" s="1"/>
  <c r="B9" i="4"/>
  <c r="B5" i="4"/>
  <c r="B34" i="3"/>
  <c r="B29" i="3"/>
  <c r="B35" i="3" s="1"/>
  <c r="B9" i="3"/>
  <c r="B5" i="3"/>
  <c r="B33" i="2"/>
  <c r="B28" i="2"/>
  <c r="B9" i="2"/>
  <c r="B10" i="2" s="1"/>
  <c r="B5" i="2"/>
  <c r="B34" i="1"/>
  <c r="B29" i="1"/>
  <c r="B8" i="1"/>
  <c r="B5" i="1"/>
  <c r="B10" i="4" l="1"/>
  <c r="B36" i="4" s="1"/>
  <c r="B37" i="4" s="1"/>
  <c r="B41" i="4" s="1"/>
  <c r="B36" i="3"/>
  <c r="B37" i="3" s="1"/>
  <c r="B41" i="3" s="1"/>
  <c r="B34" i="2"/>
  <c r="B35" i="2" s="1"/>
  <c r="B36" i="2" s="1"/>
  <c r="B40" i="2" s="1"/>
  <c r="B9" i="1"/>
  <c r="B35" i="1"/>
  <c r="B36" i="1" l="1"/>
  <c r="B37" i="1" s="1"/>
  <c r="B41" i="1" s="1"/>
  <c r="B42" i="1" s="1"/>
  <c r="B39" i="2" s="1"/>
  <c r="B41" i="2" s="1"/>
  <c r="B40" i="3" s="1"/>
  <c r="B42" i="3" s="1"/>
  <c r="B40" i="4" s="1"/>
  <c r="B42" i="4" s="1"/>
</calcChain>
</file>

<file path=xl/sharedStrings.xml><?xml version="1.0" encoding="utf-8"?>
<sst xmlns="http://schemas.openxmlformats.org/spreadsheetml/2006/main" count="143" uniqueCount="40">
  <si>
    <t>Revenus</t>
  </si>
  <si>
    <t>Montant</t>
  </si>
  <si>
    <t>Revenus fixes</t>
  </si>
  <si>
    <t>Sous-total Revenus fixes</t>
  </si>
  <si>
    <t>Revenus variables</t>
  </si>
  <si>
    <t>Sous-total Revenus variables</t>
  </si>
  <si>
    <t>Total Revenus</t>
  </si>
  <si>
    <t>Dépenses</t>
  </si>
  <si>
    <t>Dépenses essentielles (besoins)</t>
  </si>
  <si>
    <t>Loyer</t>
  </si>
  <si>
    <t>Autres</t>
  </si>
  <si>
    <t>Sous-total (besoins)</t>
  </si>
  <si>
    <t>Dépenses optionnelles (envies)</t>
  </si>
  <si>
    <t>Sous-total (envies)</t>
  </si>
  <si>
    <t>Total Dépenses</t>
  </si>
  <si>
    <t>Revenu - Dépenses</t>
  </si>
  <si>
    <t>Epargne</t>
  </si>
  <si>
    <t>Dette à rembourser</t>
  </si>
  <si>
    <t>Prise en charge</t>
  </si>
  <si>
    <t>MAAF santé</t>
  </si>
  <si>
    <t>Fnac assurance</t>
  </si>
  <si>
    <t>Box Internet</t>
  </si>
  <si>
    <t>Electricté OCTOPUS ENERGY</t>
  </si>
  <si>
    <t>Assurance Scolaire(GIE DES MAE)</t>
  </si>
  <si>
    <t>FNAC DARTY  SERVICES</t>
  </si>
  <si>
    <t>Ecole</t>
  </si>
  <si>
    <t>semaine 1</t>
  </si>
  <si>
    <t>semaine 2</t>
  </si>
  <si>
    <t>semaine 3</t>
  </si>
  <si>
    <t>semaine 4</t>
  </si>
  <si>
    <t>Produits entretien maison et corps</t>
  </si>
  <si>
    <t>Epargne mois précédent</t>
  </si>
  <si>
    <t>Récapitulatif épargne</t>
  </si>
  <si>
    <t>Epargne présent mois</t>
  </si>
  <si>
    <t>Transport</t>
  </si>
  <si>
    <t xml:space="preserve">Assurance habitation </t>
  </si>
  <si>
    <t>assurance Habitation</t>
  </si>
  <si>
    <t>Assurance habitation</t>
  </si>
  <si>
    <t>Bouygues telecom</t>
  </si>
  <si>
    <t>Assurance LCL Habitation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</si>
</sst>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  <scheme val="minor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" fontId="4" fillId="0" borderId="2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4" fontId="3" fillId="3" borderId="2" xfId="0" applyNumberFormat="1" applyFont="1" applyFill="1" applyBorder="1" applyAlignment="1">
      <alignment vertical="center" wrapText="1"/>
    </xf>
    <xf numFmtId="4" fontId="5" fillId="4" borderId="2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4" fontId="3" fillId="2" borderId="2" xfId="0" applyNumberFormat="1" applyFont="1" applyFill="1" applyBorder="1" applyAlignment="1">
      <alignment vertical="center" wrapText="1"/>
    </xf>
    <xf numFmtId="3" fontId="4" fillId="0" borderId="2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" fontId="6" fillId="0" borderId="2" xfId="0" applyNumberFormat="1" applyFont="1" applyBorder="1" applyAlignment="1">
      <alignment horizontal="right" vertical="center" wrapText="1"/>
    </xf>
    <xf numFmtId="0" fontId="7" fillId="0" borderId="0" xfId="0" applyFont="1"/>
    <xf numFmtId="4" fontId="0" fillId="0" borderId="0" xfId="0" applyNumberFormat="1"/>
    <xf numFmtId="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20" workbookViewId="0">
      <selection activeCell="A43" sqref="A42:A43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8" t="s">
        <v>5</v>
      </c>
      <c r="B8" s="11">
        <f>SUM(B7:B7)</f>
        <v>0</v>
      </c>
    </row>
    <row r="9" spans="1:2" ht="15.75" thickBot="1" x14ac:dyDescent="0.3">
      <c r="A9" s="12" t="s">
        <v>6</v>
      </c>
      <c r="B9" s="11">
        <f>B8+B5</f>
        <v>700</v>
      </c>
    </row>
    <row r="10" spans="1:2" ht="15.75" thickBot="1" x14ac:dyDescent="0.3">
      <c r="A10" s="1" t="s">
        <v>7</v>
      </c>
      <c r="B10" s="13"/>
    </row>
    <row r="11" spans="1:2" ht="15.75" thickBot="1" x14ac:dyDescent="0.3">
      <c r="A11" s="5" t="s">
        <v>8</v>
      </c>
      <c r="B11" s="10"/>
    </row>
    <row r="12" spans="1:2" ht="15.75" thickBot="1" x14ac:dyDescent="0.3">
      <c r="A12" s="6" t="s">
        <v>9</v>
      </c>
      <c r="B12" s="7">
        <v>246.03</v>
      </c>
    </row>
    <row r="13" spans="1:2" ht="15.75" thickBot="1" x14ac:dyDescent="0.3">
      <c r="A13" s="6" t="s">
        <v>23</v>
      </c>
      <c r="B13" s="7">
        <v>0</v>
      </c>
    </row>
    <row r="14" spans="1:2" ht="15.75" thickBot="1" x14ac:dyDescent="0.3">
      <c r="A14" s="6" t="s">
        <v>24</v>
      </c>
      <c r="B14" s="7">
        <v>0</v>
      </c>
    </row>
    <row r="15" spans="1:2" ht="15" customHeight="1" thickBot="1" x14ac:dyDescent="0.3">
      <c r="A15" s="6" t="s">
        <v>19</v>
      </c>
      <c r="B15" s="7">
        <v>47.56</v>
      </c>
    </row>
    <row r="16" spans="1:2" ht="15.75" thickBot="1" x14ac:dyDescent="0.3">
      <c r="A16" s="6" t="s">
        <v>20</v>
      </c>
      <c r="B16" s="7">
        <v>9.99</v>
      </c>
    </row>
    <row r="17" spans="1:2" ht="15.75" thickBot="1" x14ac:dyDescent="0.3">
      <c r="A17" s="6" t="s">
        <v>21</v>
      </c>
      <c r="B17" s="7">
        <v>33.99</v>
      </c>
    </row>
    <row r="18" spans="1:2" ht="15.75" thickBot="1" x14ac:dyDescent="0.3">
      <c r="A18" s="6" t="s">
        <v>22</v>
      </c>
      <c r="B18" s="7">
        <v>47.65</v>
      </c>
    </row>
    <row r="19" spans="1:2" ht="15.75" thickBot="1" x14ac:dyDescent="0.3">
      <c r="A19" s="6" t="s">
        <v>37</v>
      </c>
      <c r="B19" s="7"/>
    </row>
    <row r="20" spans="1:2" ht="15.75" thickBot="1" x14ac:dyDescent="0.3">
      <c r="A20" s="6" t="s">
        <v>38</v>
      </c>
      <c r="B20" s="7">
        <v>16.989999999999998</v>
      </c>
    </row>
    <row r="21" spans="1:2" ht="15.75" thickBot="1" x14ac:dyDescent="0.3">
      <c r="A21" s="6" t="s">
        <v>30</v>
      </c>
      <c r="B21" s="7">
        <v>0</v>
      </c>
    </row>
    <row r="22" spans="1:2" ht="15.75" thickBot="1" x14ac:dyDescent="0.3">
      <c r="A22" s="6" t="s">
        <v>34</v>
      </c>
      <c r="B22" s="7">
        <v>88.6</v>
      </c>
    </row>
    <row r="23" spans="1:2" ht="15.75" thickBot="1" x14ac:dyDescent="0.3">
      <c r="A23" s="6" t="s">
        <v>26</v>
      </c>
      <c r="B23" s="7">
        <v>0</v>
      </c>
    </row>
    <row r="24" spans="1:2" ht="15.75" thickBot="1" x14ac:dyDescent="0.3">
      <c r="A24" s="6" t="s">
        <v>27</v>
      </c>
      <c r="B24" s="7">
        <v>40</v>
      </c>
    </row>
    <row r="25" spans="1:2" ht="15.75" thickBot="1" x14ac:dyDescent="0.3">
      <c r="A25" s="6" t="s">
        <v>28</v>
      </c>
      <c r="B25" s="7">
        <v>40</v>
      </c>
    </row>
    <row r="26" spans="1:2" ht="15.75" thickBot="1" x14ac:dyDescent="0.3">
      <c r="A26" s="6" t="s">
        <v>29</v>
      </c>
      <c r="B26" s="7">
        <v>40</v>
      </c>
    </row>
    <row r="27" spans="1:2" ht="15.75" thickBot="1" x14ac:dyDescent="0.3">
      <c r="A27" s="6" t="s">
        <v>10</v>
      </c>
      <c r="B27" s="14"/>
    </row>
    <row r="28" spans="1:2" ht="15.75" thickBot="1" x14ac:dyDescent="0.3">
      <c r="B28" s="14"/>
    </row>
    <row r="29" spans="1:2" ht="15.75" thickBot="1" x14ac:dyDescent="0.3">
      <c r="A29" s="8" t="s">
        <v>11</v>
      </c>
      <c r="B29" s="11">
        <f>SUM(B12:B27)</f>
        <v>610.81000000000006</v>
      </c>
    </row>
    <row r="30" spans="1:2" ht="15.75" thickBot="1" x14ac:dyDescent="0.3">
      <c r="A30" s="15" t="s">
        <v>12</v>
      </c>
      <c r="B30" s="16"/>
    </row>
    <row r="31" spans="1:2" ht="15.75" thickBot="1" x14ac:dyDescent="0.3">
      <c r="A31" s="6" t="s">
        <v>25</v>
      </c>
      <c r="B31" s="7">
        <v>0</v>
      </c>
    </row>
    <row r="32" spans="1:2" ht="15.75" thickBot="1" x14ac:dyDescent="0.3">
      <c r="A32" s="17" t="s">
        <v>17</v>
      </c>
      <c r="B32" s="7">
        <v>0</v>
      </c>
    </row>
    <row r="33" spans="1:2" ht="15.75" thickBot="1" x14ac:dyDescent="0.3">
      <c r="A33" s="6"/>
      <c r="B33" s="14"/>
    </row>
    <row r="34" spans="1:2" ht="15.75" thickBot="1" x14ac:dyDescent="0.3">
      <c r="A34" s="8" t="s">
        <v>13</v>
      </c>
      <c r="B34" s="7">
        <f>SUM(B31:B33)</f>
        <v>0</v>
      </c>
    </row>
    <row r="35" spans="1:2" ht="15.75" thickBot="1" x14ac:dyDescent="0.3">
      <c r="A35" s="12" t="s">
        <v>14</v>
      </c>
      <c r="B35" s="11">
        <f>B34+B29</f>
        <v>610.81000000000006</v>
      </c>
    </row>
    <row r="36" spans="1:2" ht="15.75" thickBot="1" x14ac:dyDescent="0.3">
      <c r="A36" s="18" t="s">
        <v>15</v>
      </c>
      <c r="B36" s="11">
        <f>B9-B35</f>
        <v>89.189999999999941</v>
      </c>
    </row>
    <row r="37" spans="1:2" ht="15.75" thickBot="1" x14ac:dyDescent="0.3">
      <c r="A37" s="19" t="s">
        <v>16</v>
      </c>
      <c r="B37" s="20">
        <f>B36</f>
        <v>89.189999999999941</v>
      </c>
    </row>
    <row r="40" spans="1:2" x14ac:dyDescent="0.25">
      <c r="A40" t="s">
        <v>31</v>
      </c>
      <c r="B40">
        <v>0</v>
      </c>
    </row>
    <row r="41" spans="1:2" x14ac:dyDescent="0.25">
      <c r="A41" t="s">
        <v>33</v>
      </c>
      <c r="B41" s="22">
        <f>B37</f>
        <v>89.189999999999941</v>
      </c>
    </row>
    <row r="42" spans="1:2" x14ac:dyDescent="0.25">
      <c r="A42" s="21" t="s">
        <v>32</v>
      </c>
      <c r="B42" s="23">
        <f>B40+B41</f>
        <v>89.189999999999941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8A24-53DE-4F2D-8F2F-E98CA4BD0E62}">
  <dimension ref="A1:B41"/>
  <sheetViews>
    <sheetView topLeftCell="A23" workbookViewId="0">
      <selection activeCell="B44" sqref="B44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230.03</v>
      </c>
    </row>
    <row r="14" spans="1:2" ht="15.75" thickBot="1" x14ac:dyDescent="0.3">
      <c r="A14" s="6" t="s">
        <v>19</v>
      </c>
      <c r="B14" s="7">
        <v>47.56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33.99</v>
      </c>
    </row>
    <row r="17" spans="1:2" ht="15.75" thickBot="1" x14ac:dyDescent="0.3">
      <c r="A17" s="6" t="s">
        <v>22</v>
      </c>
      <c r="B17" s="7">
        <v>41.03</v>
      </c>
    </row>
    <row r="18" spans="1:2" ht="15.75" thickBot="1" x14ac:dyDescent="0.3">
      <c r="A18" s="6" t="s">
        <v>39</v>
      </c>
      <c r="B18" s="7">
        <v>11</v>
      </c>
    </row>
    <row r="19" spans="1:2" ht="15.75" thickBot="1" x14ac:dyDescent="0.3">
      <c r="A19" s="6"/>
      <c r="B19" s="7"/>
    </row>
    <row r="20" spans="1:2" ht="15.75" thickBot="1" x14ac:dyDescent="0.3">
      <c r="A20" s="6" t="s">
        <v>30</v>
      </c>
      <c r="B20" s="7">
        <v>40</v>
      </c>
    </row>
    <row r="21" spans="1:2" ht="15.75" thickBot="1" x14ac:dyDescent="0.3">
      <c r="A21" s="6" t="s">
        <v>34</v>
      </c>
      <c r="B21" s="7">
        <v>88.6</v>
      </c>
    </row>
    <row r="22" spans="1:2" ht="15.75" thickBot="1" x14ac:dyDescent="0.3">
      <c r="A22" s="6" t="s">
        <v>26</v>
      </c>
      <c r="B22" s="7">
        <v>40</v>
      </c>
    </row>
    <row r="23" spans="1:2" ht="15.75" thickBot="1" x14ac:dyDescent="0.3">
      <c r="A23" s="6" t="s">
        <v>27</v>
      </c>
      <c r="B23" s="7">
        <v>40</v>
      </c>
    </row>
    <row r="24" spans="1:2" ht="15.75" thickBot="1" x14ac:dyDescent="0.3">
      <c r="A24" s="6" t="s">
        <v>28</v>
      </c>
      <c r="B24" s="7">
        <v>40</v>
      </c>
    </row>
    <row r="25" spans="1:2" ht="15.75" thickBot="1" x14ac:dyDescent="0.3">
      <c r="A25" s="6" t="s">
        <v>29</v>
      </c>
      <c r="B25" s="7">
        <v>40</v>
      </c>
    </row>
    <row r="26" spans="1:2" ht="15.75" thickBot="1" x14ac:dyDescent="0.3">
      <c r="A26" s="6" t="s">
        <v>10</v>
      </c>
      <c r="B26" s="14"/>
    </row>
    <row r="27" spans="1:2" ht="15.75" thickBot="1" x14ac:dyDescent="0.3">
      <c r="A27" s="6"/>
      <c r="B27" s="14"/>
    </row>
    <row r="28" spans="1:2" ht="15.75" thickBot="1" x14ac:dyDescent="0.3">
      <c r="A28" s="8" t="s">
        <v>11</v>
      </c>
      <c r="B28" s="11">
        <f>SUM(B13:B26)</f>
        <v>662.2</v>
      </c>
    </row>
    <row r="29" spans="1:2" ht="15.75" thickBot="1" x14ac:dyDescent="0.3">
      <c r="A29" s="15" t="s">
        <v>12</v>
      </c>
      <c r="B29" s="16"/>
    </row>
    <row r="30" spans="1:2" ht="15.75" thickBot="1" x14ac:dyDescent="0.3">
      <c r="A30" s="6" t="s">
        <v>25</v>
      </c>
      <c r="B30" s="7">
        <v>0</v>
      </c>
    </row>
    <row r="31" spans="1:2" ht="15.75" thickBot="1" x14ac:dyDescent="0.3">
      <c r="A31" s="17" t="s">
        <v>17</v>
      </c>
      <c r="B31" s="7">
        <v>0</v>
      </c>
    </row>
    <row r="32" spans="1:2" ht="15.75" thickBot="1" x14ac:dyDescent="0.3">
      <c r="A32" s="6"/>
      <c r="B32" s="14"/>
    </row>
    <row r="33" spans="1:2" ht="15.75" thickBot="1" x14ac:dyDescent="0.3">
      <c r="A33" s="8" t="s">
        <v>13</v>
      </c>
      <c r="B33" s="7">
        <f>SUM(B30:B32)</f>
        <v>0</v>
      </c>
    </row>
    <row r="34" spans="1:2" ht="15.75" thickBot="1" x14ac:dyDescent="0.3">
      <c r="A34" s="12" t="s">
        <v>14</v>
      </c>
      <c r="B34" s="11">
        <f>B33+B28</f>
        <v>662.2</v>
      </c>
    </row>
    <row r="35" spans="1:2" ht="15.75" thickBot="1" x14ac:dyDescent="0.3">
      <c r="A35" s="18" t="s">
        <v>15</v>
      </c>
      <c r="B35" s="11">
        <f>B10-B34</f>
        <v>37.799999999999955</v>
      </c>
    </row>
    <row r="36" spans="1:2" ht="15.75" thickBot="1" x14ac:dyDescent="0.3">
      <c r="A36" s="19" t="s">
        <v>16</v>
      </c>
      <c r="B36" s="20">
        <f>B35</f>
        <v>37.799999999999955</v>
      </c>
    </row>
    <row r="39" spans="1:2" x14ac:dyDescent="0.25">
      <c r="A39" t="s">
        <v>31</v>
      </c>
      <c r="B39" s="22">
        <f>Janvier!B42</f>
        <v>89.189999999999941</v>
      </c>
    </row>
    <row r="40" spans="1:2" x14ac:dyDescent="0.25">
      <c r="A40" t="s">
        <v>33</v>
      </c>
      <c r="B40" s="22">
        <f>B36</f>
        <v>37.799999999999955</v>
      </c>
    </row>
    <row r="41" spans="1:2" x14ac:dyDescent="0.25">
      <c r="A41" s="21" t="s">
        <v>32</v>
      </c>
      <c r="B41" s="23">
        <f>B39+B40</f>
        <v>126.9899999999999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CA91-14EB-4536-852E-870BD442516D}">
  <dimension ref="A1:B42"/>
  <sheetViews>
    <sheetView tabSelected="1" topLeftCell="A8" workbookViewId="0">
      <selection activeCell="B13" sqref="B13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v>1000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416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35</v>
      </c>
      <c r="B20" s="7">
        <v>11</v>
      </c>
    </row>
    <row r="21" spans="1:2" ht="15.75" thickBot="1" x14ac:dyDescent="0.3">
      <c r="A21" s="6" t="s">
        <v>30</v>
      </c>
      <c r="B21" s="7">
        <v>40</v>
      </c>
    </row>
    <row r="22" spans="1:2" ht="15.75" thickBot="1" x14ac:dyDescent="0.3">
      <c r="A22" s="6" t="s">
        <v>34</v>
      </c>
      <c r="B22" s="7">
        <v>88</v>
      </c>
    </row>
    <row r="23" spans="1:2" ht="15.75" thickBot="1" x14ac:dyDescent="0.3">
      <c r="A23" s="6" t="s">
        <v>26</v>
      </c>
      <c r="B23" s="7">
        <v>40</v>
      </c>
    </row>
    <row r="24" spans="1:2" ht="15.75" thickBot="1" x14ac:dyDescent="0.3">
      <c r="A24" s="6" t="s">
        <v>27</v>
      </c>
      <c r="B24" s="7">
        <v>40</v>
      </c>
    </row>
    <row r="25" spans="1:2" ht="15.75" thickBot="1" x14ac:dyDescent="0.3">
      <c r="A25" s="6" t="s">
        <v>28</v>
      </c>
      <c r="B25" s="7">
        <v>40</v>
      </c>
    </row>
    <row r="26" spans="1:2" ht="15.75" thickBot="1" x14ac:dyDescent="0.3">
      <c r="A26" s="6" t="s">
        <v>29</v>
      </c>
      <c r="B26" s="7">
        <v>40</v>
      </c>
    </row>
    <row r="27" spans="1:2" ht="15.75" thickBot="1" x14ac:dyDescent="0.3">
      <c r="A27" s="6" t="s">
        <v>10</v>
      </c>
      <c r="B27" s="14"/>
    </row>
    <row r="28" spans="1:2" ht="15.75" thickBot="1" x14ac:dyDescent="0.3">
      <c r="A28" s="6"/>
      <c r="B28" s="14"/>
    </row>
    <row r="29" spans="1:2" ht="15.75" thickBot="1" x14ac:dyDescent="0.3">
      <c r="A29" s="8" t="s">
        <v>11</v>
      </c>
      <c r="B29" s="11">
        <f>SUM(B13:B27)</f>
        <v>864.73</v>
      </c>
    </row>
    <row r="30" spans="1:2" ht="15.75" thickBot="1" x14ac:dyDescent="0.3">
      <c r="A30" s="15" t="s">
        <v>12</v>
      </c>
      <c r="B30" s="16"/>
    </row>
    <row r="31" spans="1:2" ht="15.75" thickBot="1" x14ac:dyDescent="0.3">
      <c r="A31" s="6" t="s">
        <v>25</v>
      </c>
      <c r="B31" s="7">
        <v>0</v>
      </c>
    </row>
    <row r="32" spans="1:2" ht="15.75" thickBot="1" x14ac:dyDescent="0.3">
      <c r="A32" s="17" t="s">
        <v>17</v>
      </c>
      <c r="B32" s="7">
        <v>0</v>
      </c>
    </row>
    <row r="33" spans="1:2" ht="15.75" thickBot="1" x14ac:dyDescent="0.3">
      <c r="A33" s="6"/>
      <c r="B33" s="14"/>
    </row>
    <row r="34" spans="1:2" ht="15.75" thickBot="1" x14ac:dyDescent="0.3">
      <c r="A34" s="8" t="s">
        <v>13</v>
      </c>
      <c r="B34" s="7">
        <f>SUM(B31:B33)</f>
        <v>0</v>
      </c>
    </row>
    <row r="35" spans="1:2" ht="15.75" thickBot="1" x14ac:dyDescent="0.3">
      <c r="A35" s="12" t="s">
        <v>14</v>
      </c>
      <c r="B35" s="11">
        <f>B34+B29</f>
        <v>864.73</v>
      </c>
    </row>
    <row r="36" spans="1:2" ht="15.75" thickBot="1" x14ac:dyDescent="0.3">
      <c r="A36" s="18" t="s">
        <v>15</v>
      </c>
      <c r="B36" s="11">
        <f>B10-B35</f>
        <v>135.26999999999998</v>
      </c>
    </row>
    <row r="37" spans="1:2" ht="15.75" thickBot="1" x14ac:dyDescent="0.3">
      <c r="A37" s="19" t="s">
        <v>16</v>
      </c>
      <c r="B37" s="20">
        <f>B36</f>
        <v>135.26999999999998</v>
      </c>
    </row>
    <row r="40" spans="1:2" x14ac:dyDescent="0.25">
      <c r="A40" t="s">
        <v>31</v>
      </c>
      <c r="B40" s="22">
        <f>Février!B41</f>
        <v>126.9899999999999</v>
      </c>
    </row>
    <row r="41" spans="1:2" x14ac:dyDescent="0.25">
      <c r="A41" t="s">
        <v>33</v>
      </c>
      <c r="B41" s="22">
        <f>B37</f>
        <v>135.26999999999998</v>
      </c>
    </row>
    <row r="42" spans="1:2" x14ac:dyDescent="0.25">
      <c r="A42" s="21" t="s">
        <v>32</v>
      </c>
      <c r="B42" s="23">
        <f>B40+B41</f>
        <v>262.25999999999988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3A52-6509-4D47-A6BE-7F512B861F68}">
  <dimension ref="A1:B42"/>
  <sheetViews>
    <sheetView topLeftCell="A8" workbookViewId="0">
      <selection activeCell="A18" sqref="A18:XFD19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77.03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36</v>
      </c>
      <c r="B20" s="7">
        <v>15</v>
      </c>
    </row>
    <row r="21" spans="1:2" ht="15.75" thickBot="1" x14ac:dyDescent="0.3">
      <c r="A21" s="6" t="s">
        <v>30</v>
      </c>
      <c r="B21" s="7">
        <v>40</v>
      </c>
    </row>
    <row r="22" spans="1:2" ht="15.75" thickBot="1" x14ac:dyDescent="0.3">
      <c r="A22" s="6" t="s">
        <v>34</v>
      </c>
      <c r="B22" s="7">
        <v>88.6</v>
      </c>
    </row>
    <row r="23" spans="1:2" ht="15.75" thickBot="1" x14ac:dyDescent="0.3">
      <c r="A23" s="6" t="s">
        <v>26</v>
      </c>
      <c r="B23" s="7">
        <v>40</v>
      </c>
    </row>
    <row r="24" spans="1:2" ht="15.75" thickBot="1" x14ac:dyDescent="0.3">
      <c r="A24" s="6" t="s">
        <v>27</v>
      </c>
      <c r="B24" s="7">
        <v>40</v>
      </c>
    </row>
    <row r="25" spans="1:2" ht="15.75" thickBot="1" x14ac:dyDescent="0.3">
      <c r="A25" s="6" t="s">
        <v>28</v>
      </c>
      <c r="B25" s="7">
        <v>40</v>
      </c>
    </row>
    <row r="26" spans="1:2" ht="15.75" thickBot="1" x14ac:dyDescent="0.3">
      <c r="A26" s="6" t="s">
        <v>29</v>
      </c>
      <c r="B26" s="7">
        <v>40</v>
      </c>
    </row>
    <row r="27" spans="1:2" ht="15.75" thickBot="1" x14ac:dyDescent="0.3">
      <c r="A27" s="6" t="s">
        <v>10</v>
      </c>
      <c r="B27" s="14"/>
    </row>
    <row r="28" spans="1:2" ht="15.75" thickBot="1" x14ac:dyDescent="0.3">
      <c r="A28" s="6"/>
      <c r="B28" s="14"/>
    </row>
    <row r="29" spans="1:2" ht="15.75" thickBot="1" x14ac:dyDescent="0.3">
      <c r="A29" s="8" t="s">
        <v>11</v>
      </c>
      <c r="B29" s="11">
        <f>SUM(B13:B27)</f>
        <v>530.36</v>
      </c>
    </row>
    <row r="30" spans="1:2" ht="15.75" thickBot="1" x14ac:dyDescent="0.3">
      <c r="A30" s="15" t="s">
        <v>12</v>
      </c>
      <c r="B30" s="16"/>
    </row>
    <row r="31" spans="1:2" ht="15.75" thickBot="1" x14ac:dyDescent="0.3">
      <c r="A31" s="6" t="s">
        <v>25</v>
      </c>
      <c r="B31" s="7">
        <v>0</v>
      </c>
    </row>
    <row r="32" spans="1:2" ht="15.75" thickBot="1" x14ac:dyDescent="0.3">
      <c r="A32" s="17" t="s">
        <v>17</v>
      </c>
      <c r="B32" s="7">
        <v>0</v>
      </c>
    </row>
    <row r="33" spans="1:2" ht="15.75" thickBot="1" x14ac:dyDescent="0.3">
      <c r="A33" s="6"/>
      <c r="B33" s="14"/>
    </row>
    <row r="34" spans="1:2" ht="15.75" thickBot="1" x14ac:dyDescent="0.3">
      <c r="A34" s="8" t="s">
        <v>13</v>
      </c>
      <c r="B34" s="7">
        <f>SUM(B31:B33)</f>
        <v>0</v>
      </c>
    </row>
    <row r="35" spans="1:2" ht="15.75" thickBot="1" x14ac:dyDescent="0.3">
      <c r="A35" s="12" t="s">
        <v>14</v>
      </c>
      <c r="B35" s="11">
        <f>B34+B29</f>
        <v>530.36</v>
      </c>
    </row>
    <row r="36" spans="1:2" ht="15.75" thickBot="1" x14ac:dyDescent="0.3">
      <c r="A36" s="18" t="s">
        <v>15</v>
      </c>
      <c r="B36" s="11">
        <f>B10-B35</f>
        <v>169.64</v>
      </c>
    </row>
    <row r="37" spans="1:2" ht="15.75" thickBot="1" x14ac:dyDescent="0.3">
      <c r="A37" s="19" t="s">
        <v>16</v>
      </c>
      <c r="B37" s="20">
        <f>B36</f>
        <v>169.64</v>
      </c>
    </row>
    <row r="40" spans="1:2" x14ac:dyDescent="0.25">
      <c r="A40" t="s">
        <v>31</v>
      </c>
      <c r="B40" s="22">
        <f>Mars!B42</f>
        <v>262.25999999999988</v>
      </c>
    </row>
    <row r="41" spans="1:2" x14ac:dyDescent="0.25">
      <c r="A41" t="s">
        <v>33</v>
      </c>
      <c r="B41" s="22">
        <f>B37</f>
        <v>169.64</v>
      </c>
    </row>
    <row r="42" spans="1:2" x14ac:dyDescent="0.25">
      <c r="A42" s="21" t="s">
        <v>32</v>
      </c>
      <c r="B42" s="23">
        <f>B40+B41</f>
        <v>431.89999999999986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Janvier</vt:lpstr>
      <vt:lpstr>Février</vt:lpstr>
      <vt:lpstr>Mars</vt:lpstr>
      <vt:lpstr>Avril</vt:lpstr>
    </vt:vector>
  </TitlesOfParts>
  <Company>EEAS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BISSENGUE Claudia Clara (EEAS-BANGUI)</dc:creator>
  <cp:lastModifiedBy>Jeannette NGELE BISSENGUE</cp:lastModifiedBy>
  <dcterms:created xsi:type="dcterms:W3CDTF">2025-01-15T09:32:12Z</dcterms:created>
  <dcterms:modified xsi:type="dcterms:W3CDTF">2026-02-26T07:34:16Z</dcterms:modified>
</cp:coreProperties>
</file>