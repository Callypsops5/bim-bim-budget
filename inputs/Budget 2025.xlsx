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eann\OneDrive\Bureau\BUDGET CODY\"/>
    </mc:Choice>
  </mc:AlternateContent>
  <xr:revisionPtr revIDLastSave="0" documentId="13_ncr:1_{036468B1-CB35-4866-A751-D0F3764AFFD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eptembre" sheetId="1" r:id="rId1"/>
    <sheet name="Octobre" sheetId="2" r:id="rId2"/>
    <sheet name="Novembre" sheetId="3" r:id="rId3"/>
    <sheet name="Décemb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4" l="1"/>
  <c r="B29" i="4"/>
  <c r="B35" i="4" s="1"/>
  <c r="B9" i="4"/>
  <c r="B5" i="4"/>
  <c r="B34" i="3"/>
  <c r="B29" i="3"/>
  <c r="B35" i="3" s="1"/>
  <c r="B9" i="3"/>
  <c r="B5" i="3"/>
  <c r="B33" i="2"/>
  <c r="B28" i="2"/>
  <c r="B9" i="2"/>
  <c r="B10" i="2" s="1"/>
  <c r="B5" i="2"/>
  <c r="B33" i="1"/>
  <c r="B28" i="1"/>
  <c r="B9" i="1"/>
  <c r="B5" i="1"/>
  <c r="B10" i="4" l="1"/>
  <c r="B36" i="4" s="1"/>
  <c r="B37" i="4" s="1"/>
  <c r="B41" i="4" s="1"/>
  <c r="B36" i="3"/>
  <c r="B37" i="3" s="1"/>
  <c r="B41" i="3" s="1"/>
  <c r="B35" i="2"/>
  <c r="B36" i="2" s="1"/>
  <c r="B40" i="2" s="1"/>
  <c r="B34" i="2"/>
  <c r="B10" i="1"/>
  <c r="B34" i="1"/>
  <c r="B35" i="1" l="1"/>
  <c r="B36" i="1" s="1"/>
  <c r="B40" i="1" s="1"/>
  <c r="B41" i="1" s="1"/>
  <c r="B39" i="2" s="1"/>
  <c r="B41" i="2" s="1"/>
  <c r="B40" i="3" s="1"/>
  <c r="B42" i="3" s="1"/>
  <c r="B40" i="4" s="1"/>
  <c r="B42" i="4" s="1"/>
</calcChain>
</file>

<file path=xl/sharedStrings.xml><?xml version="1.0" encoding="utf-8"?>
<sst xmlns="http://schemas.openxmlformats.org/spreadsheetml/2006/main" count="144" uniqueCount="39">
  <si>
    <t>Revenus</t>
  </si>
  <si>
    <t>Montant</t>
  </si>
  <si>
    <t>Revenus fixes</t>
  </si>
  <si>
    <t>Sous-total Revenus fixes</t>
  </si>
  <si>
    <t>Revenus variables</t>
  </si>
  <si>
    <t>Sous-total Revenus variables</t>
  </si>
  <si>
    <t>Total Revenus</t>
  </si>
  <si>
    <t>Dépenses</t>
  </si>
  <si>
    <t>Dépenses essentielles (besoins)</t>
  </si>
  <si>
    <t>Loyer</t>
  </si>
  <si>
    <t>Autres</t>
  </si>
  <si>
    <t>Sous-total (besoins)</t>
  </si>
  <si>
    <t>Dépenses optionnelles (envies)</t>
  </si>
  <si>
    <t>Sous-total (envies)</t>
  </si>
  <si>
    <t>Total Dépenses</t>
  </si>
  <si>
    <t>Revenu - Dépenses</t>
  </si>
  <si>
    <t>Epargne</t>
  </si>
  <si>
    <t>Dette à rembourser</t>
  </si>
  <si>
    <t>Prise en charge</t>
  </si>
  <si>
    <t>MAAF santé</t>
  </si>
  <si>
    <t>Fnac assurance</t>
  </si>
  <si>
    <t>Box Internet</t>
  </si>
  <si>
    <t>Electricté OCTOPUS ENERGY</t>
  </si>
  <si>
    <t>Assurance Scolaire(GIE DES MAE)</t>
  </si>
  <si>
    <t>FNAC DARTY  SERVICES</t>
  </si>
  <si>
    <t>Ecole</t>
  </si>
  <si>
    <t>semaine 1</t>
  </si>
  <si>
    <t>semaine 2</t>
  </si>
  <si>
    <t>semaine 3</t>
  </si>
  <si>
    <t>semaine 4</t>
  </si>
  <si>
    <t>Produits entretien maison et corps</t>
  </si>
  <si>
    <t>Epargne mois précédent</t>
  </si>
  <si>
    <t>Récapitulatif épargne</t>
  </si>
  <si>
    <t>Epargne présent mois</t>
  </si>
  <si>
    <t>Transport</t>
  </si>
  <si>
    <t>virement papa</t>
  </si>
  <si>
    <t>timbre titre de séjour</t>
  </si>
  <si>
    <t xml:space="preserve">Assurance habitation </t>
  </si>
  <si>
    <t>assurance Habitation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</si>
</sst>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  <scheme val="minor"/>
    </font>
    <font>
      <b/>
      <i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" fontId="4" fillId="0" borderId="2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4" fontId="5" fillId="0" borderId="2" xfId="0" applyNumberFormat="1" applyFont="1" applyBorder="1" applyAlignment="1">
      <alignment horizontal="right" vertical="center" wrapText="1"/>
    </xf>
    <xf numFmtId="4" fontId="3" fillId="3" borderId="2" xfId="0" applyNumberFormat="1" applyFont="1" applyFill="1" applyBorder="1" applyAlignment="1">
      <alignment vertical="center" wrapText="1"/>
    </xf>
    <xf numFmtId="4" fontId="5" fillId="4" borderId="2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4" fontId="4" fillId="0" borderId="2" xfId="0" applyNumberFormat="1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4" fontId="3" fillId="2" borderId="2" xfId="0" applyNumberFormat="1" applyFont="1" applyFill="1" applyBorder="1" applyAlignment="1">
      <alignment vertical="center" wrapText="1"/>
    </xf>
    <xf numFmtId="3" fontId="4" fillId="0" borderId="2" xfId="0" applyNumberFormat="1" applyFont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" fontId="6" fillId="0" borderId="2" xfId="0" applyNumberFormat="1" applyFont="1" applyBorder="1" applyAlignment="1">
      <alignment horizontal="right" vertical="center" wrapText="1"/>
    </xf>
    <xf numFmtId="0" fontId="7" fillId="0" borderId="0" xfId="0" applyFont="1"/>
    <xf numFmtId="4" fontId="0" fillId="0" borderId="0" xfId="0" applyNumberFormat="1"/>
    <xf numFmtId="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opLeftCell="A7" workbookViewId="0">
      <selection activeCell="B25" sqref="B25"/>
    </sheetView>
  </sheetViews>
  <sheetFormatPr baseColWidth="10" defaultColWidth="9.140625" defaultRowHeight="15" x14ac:dyDescent="0.25"/>
  <cols>
    <col min="1" max="1" width="44" customWidth="1"/>
    <col min="2" max="2" width="71.5703125" customWidth="1"/>
    <col min="257" max="257" width="44" customWidth="1"/>
    <col min="258" max="258" width="71.5703125" customWidth="1"/>
    <col min="513" max="513" width="44" customWidth="1"/>
    <col min="514" max="514" width="71.5703125" customWidth="1"/>
    <col min="769" max="769" width="44" customWidth="1"/>
    <col min="770" max="770" width="71.5703125" customWidth="1"/>
    <col min="1025" max="1025" width="44" customWidth="1"/>
    <col min="1026" max="1026" width="71.5703125" customWidth="1"/>
    <col min="1281" max="1281" width="44" customWidth="1"/>
    <col min="1282" max="1282" width="71.5703125" customWidth="1"/>
    <col min="1537" max="1537" width="44" customWidth="1"/>
    <col min="1538" max="1538" width="71.5703125" customWidth="1"/>
    <col min="1793" max="1793" width="44" customWidth="1"/>
    <col min="1794" max="1794" width="71.5703125" customWidth="1"/>
    <col min="2049" max="2049" width="44" customWidth="1"/>
    <col min="2050" max="2050" width="71.5703125" customWidth="1"/>
    <col min="2305" max="2305" width="44" customWidth="1"/>
    <col min="2306" max="2306" width="71.5703125" customWidth="1"/>
    <col min="2561" max="2561" width="44" customWidth="1"/>
    <col min="2562" max="2562" width="71.5703125" customWidth="1"/>
    <col min="2817" max="2817" width="44" customWidth="1"/>
    <col min="2818" max="2818" width="71.5703125" customWidth="1"/>
    <col min="3073" max="3073" width="44" customWidth="1"/>
    <col min="3074" max="3074" width="71.5703125" customWidth="1"/>
    <col min="3329" max="3329" width="44" customWidth="1"/>
    <col min="3330" max="3330" width="71.5703125" customWidth="1"/>
    <col min="3585" max="3585" width="44" customWidth="1"/>
    <col min="3586" max="3586" width="71.5703125" customWidth="1"/>
    <col min="3841" max="3841" width="44" customWidth="1"/>
    <col min="3842" max="3842" width="71.5703125" customWidth="1"/>
    <col min="4097" max="4097" width="44" customWidth="1"/>
    <col min="4098" max="4098" width="71.5703125" customWidth="1"/>
    <col min="4353" max="4353" width="44" customWidth="1"/>
    <col min="4354" max="4354" width="71.5703125" customWidth="1"/>
    <col min="4609" max="4609" width="44" customWidth="1"/>
    <col min="4610" max="4610" width="71.5703125" customWidth="1"/>
    <col min="4865" max="4865" width="44" customWidth="1"/>
    <col min="4866" max="4866" width="71.5703125" customWidth="1"/>
    <col min="5121" max="5121" width="44" customWidth="1"/>
    <col min="5122" max="5122" width="71.5703125" customWidth="1"/>
    <col min="5377" max="5377" width="44" customWidth="1"/>
    <col min="5378" max="5378" width="71.5703125" customWidth="1"/>
    <col min="5633" max="5633" width="44" customWidth="1"/>
    <col min="5634" max="5634" width="71.5703125" customWidth="1"/>
    <col min="5889" max="5889" width="44" customWidth="1"/>
    <col min="5890" max="5890" width="71.5703125" customWidth="1"/>
    <col min="6145" max="6145" width="44" customWidth="1"/>
    <col min="6146" max="6146" width="71.5703125" customWidth="1"/>
    <col min="6401" max="6401" width="44" customWidth="1"/>
    <col min="6402" max="6402" width="71.5703125" customWidth="1"/>
    <col min="6657" max="6657" width="44" customWidth="1"/>
    <col min="6658" max="6658" width="71.5703125" customWidth="1"/>
    <col min="6913" max="6913" width="44" customWidth="1"/>
    <col min="6914" max="6914" width="71.5703125" customWidth="1"/>
    <col min="7169" max="7169" width="44" customWidth="1"/>
    <col min="7170" max="7170" width="71.5703125" customWidth="1"/>
    <col min="7425" max="7425" width="44" customWidth="1"/>
    <col min="7426" max="7426" width="71.5703125" customWidth="1"/>
    <col min="7681" max="7681" width="44" customWidth="1"/>
    <col min="7682" max="7682" width="71.5703125" customWidth="1"/>
    <col min="7937" max="7937" width="44" customWidth="1"/>
    <col min="7938" max="7938" width="71.5703125" customWidth="1"/>
    <col min="8193" max="8193" width="44" customWidth="1"/>
    <col min="8194" max="8194" width="71.5703125" customWidth="1"/>
    <col min="8449" max="8449" width="44" customWidth="1"/>
    <col min="8450" max="8450" width="71.5703125" customWidth="1"/>
    <col min="8705" max="8705" width="44" customWidth="1"/>
    <col min="8706" max="8706" width="71.5703125" customWidth="1"/>
    <col min="8961" max="8961" width="44" customWidth="1"/>
    <col min="8962" max="8962" width="71.5703125" customWidth="1"/>
    <col min="9217" max="9217" width="44" customWidth="1"/>
    <col min="9218" max="9218" width="71.5703125" customWidth="1"/>
    <col min="9473" max="9473" width="44" customWidth="1"/>
    <col min="9474" max="9474" width="71.5703125" customWidth="1"/>
    <col min="9729" max="9729" width="44" customWidth="1"/>
    <col min="9730" max="9730" width="71.5703125" customWidth="1"/>
    <col min="9985" max="9985" width="44" customWidth="1"/>
    <col min="9986" max="9986" width="71.5703125" customWidth="1"/>
    <col min="10241" max="10241" width="44" customWidth="1"/>
    <col min="10242" max="10242" width="71.5703125" customWidth="1"/>
    <col min="10497" max="10497" width="44" customWidth="1"/>
    <col min="10498" max="10498" width="71.5703125" customWidth="1"/>
    <col min="10753" max="10753" width="44" customWidth="1"/>
    <col min="10754" max="10754" width="71.5703125" customWidth="1"/>
    <col min="11009" max="11009" width="44" customWidth="1"/>
    <col min="11010" max="11010" width="71.5703125" customWidth="1"/>
    <col min="11265" max="11265" width="44" customWidth="1"/>
    <col min="11266" max="11266" width="71.5703125" customWidth="1"/>
    <col min="11521" max="11521" width="44" customWidth="1"/>
    <col min="11522" max="11522" width="71.5703125" customWidth="1"/>
    <col min="11777" max="11777" width="44" customWidth="1"/>
    <col min="11778" max="11778" width="71.5703125" customWidth="1"/>
    <col min="12033" max="12033" width="44" customWidth="1"/>
    <col min="12034" max="12034" width="71.5703125" customWidth="1"/>
    <col min="12289" max="12289" width="44" customWidth="1"/>
    <col min="12290" max="12290" width="71.5703125" customWidth="1"/>
    <col min="12545" max="12545" width="44" customWidth="1"/>
    <col min="12546" max="12546" width="71.5703125" customWidth="1"/>
    <col min="12801" max="12801" width="44" customWidth="1"/>
    <col min="12802" max="12802" width="71.5703125" customWidth="1"/>
    <col min="13057" max="13057" width="44" customWidth="1"/>
    <col min="13058" max="13058" width="71.5703125" customWidth="1"/>
    <col min="13313" max="13313" width="44" customWidth="1"/>
    <col min="13314" max="13314" width="71.5703125" customWidth="1"/>
    <col min="13569" max="13569" width="44" customWidth="1"/>
    <col min="13570" max="13570" width="71.5703125" customWidth="1"/>
    <col min="13825" max="13825" width="44" customWidth="1"/>
    <col min="13826" max="13826" width="71.5703125" customWidth="1"/>
    <col min="14081" max="14081" width="44" customWidth="1"/>
    <col min="14082" max="14082" width="71.5703125" customWidth="1"/>
    <col min="14337" max="14337" width="44" customWidth="1"/>
    <col min="14338" max="14338" width="71.5703125" customWidth="1"/>
    <col min="14593" max="14593" width="44" customWidth="1"/>
    <col min="14594" max="14594" width="71.5703125" customWidth="1"/>
    <col min="14849" max="14849" width="44" customWidth="1"/>
    <col min="14850" max="14850" width="71.5703125" customWidth="1"/>
    <col min="15105" max="15105" width="44" customWidth="1"/>
    <col min="15106" max="15106" width="71.5703125" customWidth="1"/>
    <col min="15361" max="15361" width="44" customWidth="1"/>
    <col min="15362" max="15362" width="71.5703125" customWidth="1"/>
    <col min="15617" max="15617" width="44" customWidth="1"/>
    <col min="15618" max="15618" width="71.5703125" customWidth="1"/>
    <col min="15873" max="15873" width="44" customWidth="1"/>
    <col min="15874" max="15874" width="71.5703125" customWidth="1"/>
    <col min="16129" max="16129" width="44" customWidth="1"/>
    <col min="16130" max="16130" width="71.5703125" customWidth="1"/>
  </cols>
  <sheetData>
    <row r="1" spans="1:2" s="3" customFormat="1" ht="15.75" thickBot="1" x14ac:dyDescent="0.3">
      <c r="A1" s="1" t="s">
        <v>0</v>
      </c>
      <c r="B1" s="2" t="s">
        <v>1</v>
      </c>
    </row>
    <row r="2" spans="1:2" ht="15.75" thickBot="1" x14ac:dyDescent="0.3">
      <c r="A2" s="4" t="s">
        <v>2</v>
      </c>
      <c r="B2" s="5"/>
    </row>
    <row r="3" spans="1:2" ht="15.75" thickBot="1" x14ac:dyDescent="0.3">
      <c r="A3" s="6" t="s">
        <v>18</v>
      </c>
      <c r="B3" s="7">
        <v>700</v>
      </c>
    </row>
    <row r="4" spans="1:2" ht="15.75" thickBot="1" x14ac:dyDescent="0.3">
      <c r="A4" s="6"/>
      <c r="B4" s="7"/>
    </row>
    <row r="5" spans="1:2" ht="15.75" thickBot="1" x14ac:dyDescent="0.3">
      <c r="A5" s="8" t="s">
        <v>3</v>
      </c>
      <c r="B5" s="9">
        <f>SUM(B3:B4)</f>
        <v>700</v>
      </c>
    </row>
    <row r="6" spans="1:2" ht="15.75" thickBot="1" x14ac:dyDescent="0.3">
      <c r="A6" s="5" t="s">
        <v>4</v>
      </c>
      <c r="B6" s="10"/>
    </row>
    <row r="7" spans="1:2" ht="15.75" thickBot="1" x14ac:dyDescent="0.3">
      <c r="A7" s="6" t="s">
        <v>35</v>
      </c>
      <c r="B7" s="7">
        <v>200</v>
      </c>
    </row>
    <row r="8" spans="1:2" ht="15.75" thickBot="1" x14ac:dyDescent="0.3">
      <c r="A8" s="6"/>
      <c r="B8" s="7"/>
    </row>
    <row r="9" spans="1:2" ht="15.75" thickBot="1" x14ac:dyDescent="0.3">
      <c r="A9" s="8" t="s">
        <v>5</v>
      </c>
      <c r="B9" s="11">
        <f>SUM(B7:B8)</f>
        <v>200</v>
      </c>
    </row>
    <row r="10" spans="1:2" ht="15.75" thickBot="1" x14ac:dyDescent="0.3">
      <c r="A10" s="12" t="s">
        <v>6</v>
      </c>
      <c r="B10" s="11">
        <f>B9+B5</f>
        <v>900</v>
      </c>
    </row>
    <row r="11" spans="1:2" ht="15.75" thickBot="1" x14ac:dyDescent="0.3">
      <c r="A11" s="1" t="s">
        <v>7</v>
      </c>
      <c r="B11" s="13"/>
    </row>
    <row r="12" spans="1:2" ht="15.75" thickBot="1" x14ac:dyDescent="0.3">
      <c r="A12" s="5" t="s">
        <v>8</v>
      </c>
      <c r="B12" s="10"/>
    </row>
    <row r="13" spans="1:2" ht="15.75" thickBot="1" x14ac:dyDescent="0.3">
      <c r="A13" s="6" t="s">
        <v>9</v>
      </c>
      <c r="B13" s="7">
        <v>247.03</v>
      </c>
    </row>
    <row r="14" spans="1:2" ht="15.75" thickBot="1" x14ac:dyDescent="0.3">
      <c r="A14" s="6" t="s">
        <v>19</v>
      </c>
      <c r="B14" s="7">
        <v>44.55</v>
      </c>
    </row>
    <row r="15" spans="1:2" ht="15.75" thickBot="1" x14ac:dyDescent="0.3">
      <c r="A15" s="6" t="s">
        <v>20</v>
      </c>
      <c r="B15" s="7">
        <v>9.99</v>
      </c>
    </row>
    <row r="16" spans="1:2" ht="15.75" thickBot="1" x14ac:dyDescent="0.3">
      <c r="A16" s="6" t="s">
        <v>21</v>
      </c>
      <c r="B16" s="7">
        <v>19.989999999999998</v>
      </c>
    </row>
    <row r="17" spans="1:2" ht="15.75" thickBot="1" x14ac:dyDescent="0.3">
      <c r="A17" s="6" t="s">
        <v>22</v>
      </c>
      <c r="B17" s="7">
        <v>39.71</v>
      </c>
    </row>
    <row r="18" spans="1:2" ht="15.75" thickBot="1" x14ac:dyDescent="0.3">
      <c r="A18" s="6" t="s">
        <v>23</v>
      </c>
      <c r="B18" s="7">
        <v>19.5</v>
      </c>
    </row>
    <row r="19" spans="1:2" ht="15.75" thickBot="1" x14ac:dyDescent="0.3">
      <c r="A19" s="6" t="s">
        <v>24</v>
      </c>
      <c r="B19" s="7">
        <v>15.99</v>
      </c>
    </row>
    <row r="20" spans="1:2" ht="15.75" thickBot="1" x14ac:dyDescent="0.3">
      <c r="A20" s="6" t="s">
        <v>30</v>
      </c>
      <c r="B20" s="7">
        <v>40</v>
      </c>
    </row>
    <row r="21" spans="1:2" ht="15.75" thickBot="1" x14ac:dyDescent="0.3">
      <c r="A21" s="6" t="s">
        <v>34</v>
      </c>
      <c r="B21" s="7">
        <v>0</v>
      </c>
    </row>
    <row r="22" spans="1:2" ht="15.75" thickBot="1" x14ac:dyDescent="0.3">
      <c r="A22" s="6" t="s">
        <v>26</v>
      </c>
      <c r="B22" s="7">
        <v>0</v>
      </c>
    </row>
    <row r="23" spans="1:2" ht="15.75" thickBot="1" x14ac:dyDescent="0.3">
      <c r="A23" s="6" t="s">
        <v>27</v>
      </c>
      <c r="B23" s="7">
        <v>0</v>
      </c>
    </row>
    <row r="24" spans="1:2" ht="15.75" thickBot="1" x14ac:dyDescent="0.3">
      <c r="A24" s="6" t="s">
        <v>28</v>
      </c>
      <c r="B24" s="7">
        <v>40</v>
      </c>
    </row>
    <row r="25" spans="1:2" ht="15.75" thickBot="1" x14ac:dyDescent="0.3">
      <c r="A25" s="6" t="s">
        <v>29</v>
      </c>
      <c r="B25" s="7">
        <v>40</v>
      </c>
    </row>
    <row r="26" spans="1:2" ht="15.75" thickBot="1" x14ac:dyDescent="0.3">
      <c r="A26" s="6" t="s">
        <v>36</v>
      </c>
      <c r="B26" s="14">
        <v>75</v>
      </c>
    </row>
    <row r="27" spans="1:2" ht="15.75" thickBot="1" x14ac:dyDescent="0.3">
      <c r="A27" s="6" t="s">
        <v>10</v>
      </c>
      <c r="B27" s="14"/>
    </row>
    <row r="28" spans="1:2" ht="15.75" thickBot="1" x14ac:dyDescent="0.3">
      <c r="A28" s="8" t="s">
        <v>11</v>
      </c>
      <c r="B28" s="11">
        <f>SUM(B13:B26)</f>
        <v>591.76</v>
      </c>
    </row>
    <row r="29" spans="1:2" ht="15.75" thickBot="1" x14ac:dyDescent="0.3">
      <c r="A29" s="15" t="s">
        <v>12</v>
      </c>
      <c r="B29" s="16"/>
    </row>
    <row r="30" spans="1:2" ht="15.75" thickBot="1" x14ac:dyDescent="0.3">
      <c r="A30" s="6" t="s">
        <v>25</v>
      </c>
      <c r="B30" s="7">
        <v>0</v>
      </c>
    </row>
    <row r="31" spans="1:2" ht="15.75" thickBot="1" x14ac:dyDescent="0.3">
      <c r="A31" s="17" t="s">
        <v>17</v>
      </c>
      <c r="B31" s="7">
        <v>0</v>
      </c>
    </row>
    <row r="32" spans="1:2" ht="15.75" thickBot="1" x14ac:dyDescent="0.3">
      <c r="A32" s="6"/>
      <c r="B32" s="14"/>
    </row>
    <row r="33" spans="1:2" ht="15.75" thickBot="1" x14ac:dyDescent="0.3">
      <c r="A33" s="8" t="s">
        <v>13</v>
      </c>
      <c r="B33" s="7">
        <f>SUM(B30:B32)</f>
        <v>0</v>
      </c>
    </row>
    <row r="34" spans="1:2" ht="15.75" thickBot="1" x14ac:dyDescent="0.3">
      <c r="A34" s="12" t="s">
        <v>14</v>
      </c>
      <c r="B34" s="11">
        <f>B33+B28</f>
        <v>591.76</v>
      </c>
    </row>
    <row r="35" spans="1:2" ht="15.75" thickBot="1" x14ac:dyDescent="0.3">
      <c r="A35" s="18" t="s">
        <v>15</v>
      </c>
      <c r="B35" s="11">
        <f>B10-B34</f>
        <v>308.24</v>
      </c>
    </row>
    <row r="36" spans="1:2" ht="15.75" thickBot="1" x14ac:dyDescent="0.3">
      <c r="A36" s="19" t="s">
        <v>16</v>
      </c>
      <c r="B36" s="20">
        <f>B35</f>
        <v>308.24</v>
      </c>
    </row>
    <row r="39" spans="1:2" x14ac:dyDescent="0.25">
      <c r="A39" t="s">
        <v>31</v>
      </c>
      <c r="B39">
        <v>67.22</v>
      </c>
    </row>
    <row r="40" spans="1:2" x14ac:dyDescent="0.25">
      <c r="A40" t="s">
        <v>33</v>
      </c>
      <c r="B40" s="22">
        <f>B36</f>
        <v>308.24</v>
      </c>
    </row>
    <row r="41" spans="1:2" x14ac:dyDescent="0.25">
      <c r="A41" s="21" t="s">
        <v>32</v>
      </c>
      <c r="B41" s="23">
        <f>B39+B40</f>
        <v>375.46000000000004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8A24-53DE-4F2D-8F2F-E98CA4BD0E62}">
  <dimension ref="A1:B41"/>
  <sheetViews>
    <sheetView topLeftCell="A10" workbookViewId="0">
      <selection activeCell="B17" sqref="B17"/>
    </sheetView>
  </sheetViews>
  <sheetFormatPr baseColWidth="10" defaultColWidth="9.140625" defaultRowHeight="15" x14ac:dyDescent="0.25"/>
  <cols>
    <col min="1" max="1" width="44" customWidth="1"/>
    <col min="2" max="2" width="71.5703125" customWidth="1"/>
    <col min="257" max="257" width="44" customWidth="1"/>
    <col min="258" max="258" width="71.5703125" customWidth="1"/>
    <col min="513" max="513" width="44" customWidth="1"/>
    <col min="514" max="514" width="71.5703125" customWidth="1"/>
    <col min="769" max="769" width="44" customWidth="1"/>
    <col min="770" max="770" width="71.5703125" customWidth="1"/>
    <col min="1025" max="1025" width="44" customWidth="1"/>
    <col min="1026" max="1026" width="71.5703125" customWidth="1"/>
    <col min="1281" max="1281" width="44" customWidth="1"/>
    <col min="1282" max="1282" width="71.5703125" customWidth="1"/>
    <col min="1537" max="1537" width="44" customWidth="1"/>
    <col min="1538" max="1538" width="71.5703125" customWidth="1"/>
    <col min="1793" max="1793" width="44" customWidth="1"/>
    <col min="1794" max="1794" width="71.5703125" customWidth="1"/>
    <col min="2049" max="2049" width="44" customWidth="1"/>
    <col min="2050" max="2050" width="71.5703125" customWidth="1"/>
    <col min="2305" max="2305" width="44" customWidth="1"/>
    <col min="2306" max="2306" width="71.5703125" customWidth="1"/>
    <col min="2561" max="2561" width="44" customWidth="1"/>
    <col min="2562" max="2562" width="71.5703125" customWidth="1"/>
    <col min="2817" max="2817" width="44" customWidth="1"/>
    <col min="2818" max="2818" width="71.5703125" customWidth="1"/>
    <col min="3073" max="3073" width="44" customWidth="1"/>
    <col min="3074" max="3074" width="71.5703125" customWidth="1"/>
    <col min="3329" max="3329" width="44" customWidth="1"/>
    <col min="3330" max="3330" width="71.5703125" customWidth="1"/>
    <col min="3585" max="3585" width="44" customWidth="1"/>
    <col min="3586" max="3586" width="71.5703125" customWidth="1"/>
    <col min="3841" max="3841" width="44" customWidth="1"/>
    <col min="3842" max="3842" width="71.5703125" customWidth="1"/>
    <col min="4097" max="4097" width="44" customWidth="1"/>
    <col min="4098" max="4098" width="71.5703125" customWidth="1"/>
    <col min="4353" max="4353" width="44" customWidth="1"/>
    <col min="4354" max="4354" width="71.5703125" customWidth="1"/>
    <col min="4609" max="4609" width="44" customWidth="1"/>
    <col min="4610" max="4610" width="71.5703125" customWidth="1"/>
    <col min="4865" max="4865" width="44" customWidth="1"/>
    <col min="4866" max="4866" width="71.5703125" customWidth="1"/>
    <col min="5121" max="5121" width="44" customWidth="1"/>
    <col min="5122" max="5122" width="71.5703125" customWidth="1"/>
    <col min="5377" max="5377" width="44" customWidth="1"/>
    <col min="5378" max="5378" width="71.5703125" customWidth="1"/>
    <col min="5633" max="5633" width="44" customWidth="1"/>
    <col min="5634" max="5634" width="71.5703125" customWidth="1"/>
    <col min="5889" max="5889" width="44" customWidth="1"/>
    <col min="5890" max="5890" width="71.5703125" customWidth="1"/>
    <col min="6145" max="6145" width="44" customWidth="1"/>
    <col min="6146" max="6146" width="71.5703125" customWidth="1"/>
    <col min="6401" max="6401" width="44" customWidth="1"/>
    <col min="6402" max="6402" width="71.5703125" customWidth="1"/>
    <col min="6657" max="6657" width="44" customWidth="1"/>
    <col min="6658" max="6658" width="71.5703125" customWidth="1"/>
    <col min="6913" max="6913" width="44" customWidth="1"/>
    <col min="6914" max="6914" width="71.5703125" customWidth="1"/>
    <col min="7169" max="7169" width="44" customWidth="1"/>
    <col min="7170" max="7170" width="71.5703125" customWidth="1"/>
    <col min="7425" max="7425" width="44" customWidth="1"/>
    <col min="7426" max="7426" width="71.5703125" customWidth="1"/>
    <col min="7681" max="7681" width="44" customWidth="1"/>
    <col min="7682" max="7682" width="71.5703125" customWidth="1"/>
    <col min="7937" max="7937" width="44" customWidth="1"/>
    <col min="7938" max="7938" width="71.5703125" customWidth="1"/>
    <col min="8193" max="8193" width="44" customWidth="1"/>
    <col min="8194" max="8194" width="71.5703125" customWidth="1"/>
    <col min="8449" max="8449" width="44" customWidth="1"/>
    <col min="8450" max="8450" width="71.5703125" customWidth="1"/>
    <col min="8705" max="8705" width="44" customWidth="1"/>
    <col min="8706" max="8706" width="71.5703125" customWidth="1"/>
    <col min="8961" max="8961" width="44" customWidth="1"/>
    <col min="8962" max="8962" width="71.5703125" customWidth="1"/>
    <col min="9217" max="9217" width="44" customWidth="1"/>
    <col min="9218" max="9218" width="71.5703125" customWidth="1"/>
    <col min="9473" max="9473" width="44" customWidth="1"/>
    <col min="9474" max="9474" width="71.5703125" customWidth="1"/>
    <col min="9729" max="9729" width="44" customWidth="1"/>
    <col min="9730" max="9730" width="71.5703125" customWidth="1"/>
    <col min="9985" max="9985" width="44" customWidth="1"/>
    <col min="9986" max="9986" width="71.5703125" customWidth="1"/>
    <col min="10241" max="10241" width="44" customWidth="1"/>
    <col min="10242" max="10242" width="71.5703125" customWidth="1"/>
    <col min="10497" max="10497" width="44" customWidth="1"/>
    <col min="10498" max="10498" width="71.5703125" customWidth="1"/>
    <col min="10753" max="10753" width="44" customWidth="1"/>
    <col min="10754" max="10754" width="71.5703125" customWidth="1"/>
    <col min="11009" max="11009" width="44" customWidth="1"/>
    <col min="11010" max="11010" width="71.5703125" customWidth="1"/>
    <col min="11265" max="11265" width="44" customWidth="1"/>
    <col min="11266" max="11266" width="71.5703125" customWidth="1"/>
    <col min="11521" max="11521" width="44" customWidth="1"/>
    <col min="11522" max="11522" width="71.5703125" customWidth="1"/>
    <col min="11777" max="11777" width="44" customWidth="1"/>
    <col min="11778" max="11778" width="71.5703125" customWidth="1"/>
    <col min="12033" max="12033" width="44" customWidth="1"/>
    <col min="12034" max="12034" width="71.5703125" customWidth="1"/>
    <col min="12289" max="12289" width="44" customWidth="1"/>
    <col min="12290" max="12290" width="71.5703125" customWidth="1"/>
    <col min="12545" max="12545" width="44" customWidth="1"/>
    <col min="12546" max="12546" width="71.5703125" customWidth="1"/>
    <col min="12801" max="12801" width="44" customWidth="1"/>
    <col min="12802" max="12802" width="71.5703125" customWidth="1"/>
    <col min="13057" max="13057" width="44" customWidth="1"/>
    <col min="13058" max="13058" width="71.5703125" customWidth="1"/>
    <col min="13313" max="13313" width="44" customWidth="1"/>
    <col min="13314" max="13314" width="71.5703125" customWidth="1"/>
    <col min="13569" max="13569" width="44" customWidth="1"/>
    <col min="13570" max="13570" width="71.5703125" customWidth="1"/>
    <col min="13825" max="13825" width="44" customWidth="1"/>
    <col min="13826" max="13826" width="71.5703125" customWidth="1"/>
    <col min="14081" max="14081" width="44" customWidth="1"/>
    <col min="14082" max="14082" width="71.5703125" customWidth="1"/>
    <col min="14337" max="14337" width="44" customWidth="1"/>
    <col min="14338" max="14338" width="71.5703125" customWidth="1"/>
    <col min="14593" max="14593" width="44" customWidth="1"/>
    <col min="14594" max="14594" width="71.5703125" customWidth="1"/>
    <col min="14849" max="14849" width="44" customWidth="1"/>
    <col min="14850" max="14850" width="71.5703125" customWidth="1"/>
    <col min="15105" max="15105" width="44" customWidth="1"/>
    <col min="15106" max="15106" width="71.5703125" customWidth="1"/>
    <col min="15361" max="15361" width="44" customWidth="1"/>
    <col min="15362" max="15362" width="71.5703125" customWidth="1"/>
    <col min="15617" max="15617" width="44" customWidth="1"/>
    <col min="15618" max="15618" width="71.5703125" customWidth="1"/>
    <col min="15873" max="15873" width="44" customWidth="1"/>
    <col min="15874" max="15874" width="71.5703125" customWidth="1"/>
    <col min="16129" max="16129" width="44" customWidth="1"/>
    <col min="16130" max="16130" width="71.5703125" customWidth="1"/>
  </cols>
  <sheetData>
    <row r="1" spans="1:2" s="3" customFormat="1" ht="15.75" thickBot="1" x14ac:dyDescent="0.3">
      <c r="A1" s="1" t="s">
        <v>0</v>
      </c>
      <c r="B1" s="2" t="s">
        <v>1</v>
      </c>
    </row>
    <row r="2" spans="1:2" ht="15.75" thickBot="1" x14ac:dyDescent="0.3">
      <c r="A2" s="4" t="s">
        <v>2</v>
      </c>
      <c r="B2" s="5"/>
    </row>
    <row r="3" spans="1:2" ht="15.75" thickBot="1" x14ac:dyDescent="0.3">
      <c r="A3" s="6" t="s">
        <v>18</v>
      </c>
      <c r="B3" s="7">
        <v>700</v>
      </c>
    </row>
    <row r="4" spans="1:2" ht="15.75" thickBot="1" x14ac:dyDescent="0.3">
      <c r="A4" s="6"/>
      <c r="B4" s="7"/>
    </row>
    <row r="5" spans="1:2" ht="15.75" thickBot="1" x14ac:dyDescent="0.3">
      <c r="A5" s="8" t="s">
        <v>3</v>
      </c>
      <c r="B5" s="9">
        <f>SUM(B3:B4)</f>
        <v>700</v>
      </c>
    </row>
    <row r="6" spans="1:2" ht="15.75" thickBot="1" x14ac:dyDescent="0.3">
      <c r="A6" s="5" t="s">
        <v>4</v>
      </c>
      <c r="B6" s="10"/>
    </row>
    <row r="7" spans="1:2" ht="15.75" thickBot="1" x14ac:dyDescent="0.3">
      <c r="A7" s="6"/>
      <c r="B7" s="7"/>
    </row>
    <row r="8" spans="1:2" ht="15.75" thickBot="1" x14ac:dyDescent="0.3">
      <c r="A8" s="6"/>
      <c r="B8" s="7"/>
    </row>
    <row r="9" spans="1:2" ht="15.75" thickBot="1" x14ac:dyDescent="0.3">
      <c r="A9" s="8" t="s">
        <v>5</v>
      </c>
      <c r="B9" s="11">
        <f>SUM(B7:B8)</f>
        <v>0</v>
      </c>
    </row>
    <row r="10" spans="1:2" ht="15.75" thickBot="1" x14ac:dyDescent="0.3">
      <c r="A10" s="12" t="s">
        <v>6</v>
      </c>
      <c r="B10" s="11">
        <f>B9+B5</f>
        <v>700</v>
      </c>
    </row>
    <row r="11" spans="1:2" ht="15.75" thickBot="1" x14ac:dyDescent="0.3">
      <c r="A11" s="1" t="s">
        <v>7</v>
      </c>
      <c r="B11" s="13"/>
    </row>
    <row r="12" spans="1:2" ht="15.75" thickBot="1" x14ac:dyDescent="0.3">
      <c r="A12" s="5" t="s">
        <v>8</v>
      </c>
      <c r="B12" s="10"/>
    </row>
    <row r="13" spans="1:2" ht="15.75" thickBot="1" x14ac:dyDescent="0.3">
      <c r="A13" s="6" t="s">
        <v>9</v>
      </c>
      <c r="B13" s="7">
        <v>247.03</v>
      </c>
    </row>
    <row r="14" spans="1:2" ht="15.75" thickBot="1" x14ac:dyDescent="0.3">
      <c r="A14" s="6" t="s">
        <v>19</v>
      </c>
      <c r="B14" s="7">
        <v>44.55</v>
      </c>
    </row>
    <row r="15" spans="1:2" ht="15.75" thickBot="1" x14ac:dyDescent="0.3">
      <c r="A15" s="6" t="s">
        <v>20</v>
      </c>
      <c r="B15" s="7">
        <v>9.99</v>
      </c>
    </row>
    <row r="16" spans="1:2" ht="15.75" thickBot="1" x14ac:dyDescent="0.3">
      <c r="A16" s="6" t="s">
        <v>21</v>
      </c>
      <c r="B16" s="7">
        <v>19.989999999999998</v>
      </c>
    </row>
    <row r="17" spans="1:2" ht="15.75" thickBot="1" x14ac:dyDescent="0.3">
      <c r="A17" s="6" t="s">
        <v>22</v>
      </c>
      <c r="B17" s="7">
        <v>39.71</v>
      </c>
    </row>
    <row r="18" spans="1:2" ht="15.75" thickBot="1" x14ac:dyDescent="0.3">
      <c r="A18" s="6" t="s">
        <v>23</v>
      </c>
      <c r="B18" s="7">
        <v>19.5</v>
      </c>
    </row>
    <row r="19" spans="1:2" ht="15.75" thickBot="1" x14ac:dyDescent="0.3">
      <c r="A19" s="6" t="s">
        <v>24</v>
      </c>
      <c r="B19" s="7">
        <v>15.99</v>
      </c>
    </row>
    <row r="20" spans="1:2" ht="15.75" thickBot="1" x14ac:dyDescent="0.3">
      <c r="A20" s="6" t="s">
        <v>30</v>
      </c>
      <c r="B20" s="7">
        <v>40</v>
      </c>
    </row>
    <row r="21" spans="1:2" ht="15.75" thickBot="1" x14ac:dyDescent="0.3">
      <c r="A21" s="6" t="s">
        <v>34</v>
      </c>
      <c r="B21" s="7">
        <v>88</v>
      </c>
    </row>
    <row r="22" spans="1:2" ht="15.75" thickBot="1" x14ac:dyDescent="0.3">
      <c r="A22" s="6" t="s">
        <v>26</v>
      </c>
      <c r="B22" s="7">
        <v>40</v>
      </c>
    </row>
    <row r="23" spans="1:2" ht="15.75" thickBot="1" x14ac:dyDescent="0.3">
      <c r="A23" s="6" t="s">
        <v>27</v>
      </c>
      <c r="B23" s="7">
        <v>40</v>
      </c>
    </row>
    <row r="24" spans="1:2" ht="15.75" thickBot="1" x14ac:dyDescent="0.3">
      <c r="A24" s="6" t="s">
        <v>28</v>
      </c>
      <c r="B24" s="7">
        <v>40</v>
      </c>
    </row>
    <row r="25" spans="1:2" ht="15.75" thickBot="1" x14ac:dyDescent="0.3">
      <c r="A25" s="6" t="s">
        <v>29</v>
      </c>
      <c r="B25" s="7">
        <v>40</v>
      </c>
    </row>
    <row r="26" spans="1:2" ht="15.75" thickBot="1" x14ac:dyDescent="0.3">
      <c r="A26" s="6" t="s">
        <v>10</v>
      </c>
      <c r="B26" s="14"/>
    </row>
    <row r="27" spans="1:2" ht="15.75" thickBot="1" x14ac:dyDescent="0.3">
      <c r="A27" s="6"/>
      <c r="B27" s="14"/>
    </row>
    <row r="28" spans="1:2" ht="15.75" thickBot="1" x14ac:dyDescent="0.3">
      <c r="A28" s="8" t="s">
        <v>11</v>
      </c>
      <c r="B28" s="11">
        <f>SUM(B13:B26)</f>
        <v>684.76</v>
      </c>
    </row>
    <row r="29" spans="1:2" ht="15.75" thickBot="1" x14ac:dyDescent="0.3">
      <c r="A29" s="15" t="s">
        <v>12</v>
      </c>
      <c r="B29" s="16"/>
    </row>
    <row r="30" spans="1:2" ht="15.75" thickBot="1" x14ac:dyDescent="0.3">
      <c r="A30" s="6" t="s">
        <v>25</v>
      </c>
      <c r="B30" s="7">
        <v>0</v>
      </c>
    </row>
    <row r="31" spans="1:2" ht="15.75" thickBot="1" x14ac:dyDescent="0.3">
      <c r="A31" s="17" t="s">
        <v>17</v>
      </c>
      <c r="B31" s="7">
        <v>0</v>
      </c>
    </row>
    <row r="32" spans="1:2" ht="15.75" thickBot="1" x14ac:dyDescent="0.3">
      <c r="A32" s="6"/>
      <c r="B32" s="14"/>
    </row>
    <row r="33" spans="1:2" ht="15.75" thickBot="1" x14ac:dyDescent="0.3">
      <c r="A33" s="8" t="s">
        <v>13</v>
      </c>
      <c r="B33" s="7">
        <f>SUM(B30:B32)</f>
        <v>0</v>
      </c>
    </row>
    <row r="34" spans="1:2" ht="15.75" thickBot="1" x14ac:dyDescent="0.3">
      <c r="A34" s="12" t="s">
        <v>14</v>
      </c>
      <c r="B34" s="11">
        <f>B33+B28</f>
        <v>684.76</v>
      </c>
    </row>
    <row r="35" spans="1:2" ht="15.75" thickBot="1" x14ac:dyDescent="0.3">
      <c r="A35" s="18" t="s">
        <v>15</v>
      </c>
      <c r="B35" s="11">
        <f>B10-B34</f>
        <v>15.240000000000009</v>
      </c>
    </row>
    <row r="36" spans="1:2" ht="15.75" thickBot="1" x14ac:dyDescent="0.3">
      <c r="A36" s="19" t="s">
        <v>16</v>
      </c>
      <c r="B36" s="20">
        <f>B35</f>
        <v>15.240000000000009</v>
      </c>
    </row>
    <row r="39" spans="1:2" x14ac:dyDescent="0.25">
      <c r="A39" t="s">
        <v>31</v>
      </c>
      <c r="B39" s="22">
        <f>Septembre!B41</f>
        <v>375.46000000000004</v>
      </c>
    </row>
    <row r="40" spans="1:2" x14ac:dyDescent="0.25">
      <c r="A40" t="s">
        <v>33</v>
      </c>
      <c r="B40" s="22">
        <f>B36</f>
        <v>15.240000000000009</v>
      </c>
    </row>
    <row r="41" spans="1:2" x14ac:dyDescent="0.25">
      <c r="A41" s="21" t="s">
        <v>32</v>
      </c>
      <c r="B41" s="23">
        <f>B39+B40</f>
        <v>390.70000000000005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CA91-14EB-4536-852E-870BD442516D}">
  <dimension ref="A1:B42"/>
  <sheetViews>
    <sheetView topLeftCell="A8" workbookViewId="0">
      <selection activeCell="B11" sqref="B11"/>
    </sheetView>
  </sheetViews>
  <sheetFormatPr baseColWidth="10" defaultColWidth="9.140625" defaultRowHeight="15" x14ac:dyDescent="0.25"/>
  <cols>
    <col min="1" max="1" width="44" customWidth="1"/>
    <col min="2" max="2" width="71.5703125" customWidth="1"/>
    <col min="257" max="257" width="44" customWidth="1"/>
    <col min="258" max="258" width="71.5703125" customWidth="1"/>
    <col min="513" max="513" width="44" customWidth="1"/>
    <col min="514" max="514" width="71.5703125" customWidth="1"/>
    <col min="769" max="769" width="44" customWidth="1"/>
    <col min="770" max="770" width="71.5703125" customWidth="1"/>
    <col min="1025" max="1025" width="44" customWidth="1"/>
    <col min="1026" max="1026" width="71.5703125" customWidth="1"/>
    <col min="1281" max="1281" width="44" customWidth="1"/>
    <col min="1282" max="1282" width="71.5703125" customWidth="1"/>
    <col min="1537" max="1537" width="44" customWidth="1"/>
    <col min="1538" max="1538" width="71.5703125" customWidth="1"/>
    <col min="1793" max="1793" width="44" customWidth="1"/>
    <col min="1794" max="1794" width="71.5703125" customWidth="1"/>
    <col min="2049" max="2049" width="44" customWidth="1"/>
    <col min="2050" max="2050" width="71.5703125" customWidth="1"/>
    <col min="2305" max="2305" width="44" customWidth="1"/>
    <col min="2306" max="2306" width="71.5703125" customWidth="1"/>
    <col min="2561" max="2561" width="44" customWidth="1"/>
    <col min="2562" max="2562" width="71.5703125" customWidth="1"/>
    <col min="2817" max="2817" width="44" customWidth="1"/>
    <col min="2818" max="2818" width="71.5703125" customWidth="1"/>
    <col min="3073" max="3073" width="44" customWidth="1"/>
    <col min="3074" max="3074" width="71.5703125" customWidth="1"/>
    <col min="3329" max="3329" width="44" customWidth="1"/>
    <col min="3330" max="3330" width="71.5703125" customWidth="1"/>
    <col min="3585" max="3585" width="44" customWidth="1"/>
    <col min="3586" max="3586" width="71.5703125" customWidth="1"/>
    <col min="3841" max="3841" width="44" customWidth="1"/>
    <col min="3842" max="3842" width="71.5703125" customWidth="1"/>
    <col min="4097" max="4097" width="44" customWidth="1"/>
    <col min="4098" max="4098" width="71.5703125" customWidth="1"/>
    <col min="4353" max="4353" width="44" customWidth="1"/>
    <col min="4354" max="4354" width="71.5703125" customWidth="1"/>
    <col min="4609" max="4609" width="44" customWidth="1"/>
    <col min="4610" max="4610" width="71.5703125" customWidth="1"/>
    <col min="4865" max="4865" width="44" customWidth="1"/>
    <col min="4866" max="4866" width="71.5703125" customWidth="1"/>
    <col min="5121" max="5121" width="44" customWidth="1"/>
    <col min="5122" max="5122" width="71.5703125" customWidth="1"/>
    <col min="5377" max="5377" width="44" customWidth="1"/>
    <col min="5378" max="5378" width="71.5703125" customWidth="1"/>
    <col min="5633" max="5633" width="44" customWidth="1"/>
    <col min="5634" max="5634" width="71.5703125" customWidth="1"/>
    <col min="5889" max="5889" width="44" customWidth="1"/>
    <col min="5890" max="5890" width="71.5703125" customWidth="1"/>
    <col min="6145" max="6145" width="44" customWidth="1"/>
    <col min="6146" max="6146" width="71.5703125" customWidth="1"/>
    <col min="6401" max="6401" width="44" customWidth="1"/>
    <col min="6402" max="6402" width="71.5703125" customWidth="1"/>
    <col min="6657" max="6657" width="44" customWidth="1"/>
    <col min="6658" max="6658" width="71.5703125" customWidth="1"/>
    <col min="6913" max="6913" width="44" customWidth="1"/>
    <col min="6914" max="6914" width="71.5703125" customWidth="1"/>
    <col min="7169" max="7169" width="44" customWidth="1"/>
    <col min="7170" max="7170" width="71.5703125" customWidth="1"/>
    <col min="7425" max="7425" width="44" customWidth="1"/>
    <col min="7426" max="7426" width="71.5703125" customWidth="1"/>
    <col min="7681" max="7681" width="44" customWidth="1"/>
    <col min="7682" max="7682" width="71.5703125" customWidth="1"/>
    <col min="7937" max="7937" width="44" customWidth="1"/>
    <col min="7938" max="7938" width="71.5703125" customWidth="1"/>
    <col min="8193" max="8193" width="44" customWidth="1"/>
    <col min="8194" max="8194" width="71.5703125" customWidth="1"/>
    <col min="8449" max="8449" width="44" customWidth="1"/>
    <col min="8450" max="8450" width="71.5703125" customWidth="1"/>
    <col min="8705" max="8705" width="44" customWidth="1"/>
    <col min="8706" max="8706" width="71.5703125" customWidth="1"/>
    <col min="8961" max="8961" width="44" customWidth="1"/>
    <col min="8962" max="8962" width="71.5703125" customWidth="1"/>
    <col min="9217" max="9217" width="44" customWidth="1"/>
    <col min="9218" max="9218" width="71.5703125" customWidth="1"/>
    <col min="9473" max="9473" width="44" customWidth="1"/>
    <col min="9474" max="9474" width="71.5703125" customWidth="1"/>
    <col min="9729" max="9729" width="44" customWidth="1"/>
    <col min="9730" max="9730" width="71.5703125" customWidth="1"/>
    <col min="9985" max="9985" width="44" customWidth="1"/>
    <col min="9986" max="9986" width="71.5703125" customWidth="1"/>
    <col min="10241" max="10241" width="44" customWidth="1"/>
    <col min="10242" max="10242" width="71.5703125" customWidth="1"/>
    <col min="10497" max="10497" width="44" customWidth="1"/>
    <col min="10498" max="10498" width="71.5703125" customWidth="1"/>
    <col min="10753" max="10753" width="44" customWidth="1"/>
    <col min="10754" max="10754" width="71.5703125" customWidth="1"/>
    <col min="11009" max="11009" width="44" customWidth="1"/>
    <col min="11010" max="11010" width="71.5703125" customWidth="1"/>
    <col min="11265" max="11265" width="44" customWidth="1"/>
    <col min="11266" max="11266" width="71.5703125" customWidth="1"/>
    <col min="11521" max="11521" width="44" customWidth="1"/>
    <col min="11522" max="11522" width="71.5703125" customWidth="1"/>
    <col min="11777" max="11777" width="44" customWidth="1"/>
    <col min="11778" max="11778" width="71.5703125" customWidth="1"/>
    <col min="12033" max="12033" width="44" customWidth="1"/>
    <col min="12034" max="12034" width="71.5703125" customWidth="1"/>
    <col min="12289" max="12289" width="44" customWidth="1"/>
    <col min="12290" max="12290" width="71.5703125" customWidth="1"/>
    <col min="12545" max="12545" width="44" customWidth="1"/>
    <col min="12546" max="12546" width="71.5703125" customWidth="1"/>
    <col min="12801" max="12801" width="44" customWidth="1"/>
    <col min="12802" max="12802" width="71.5703125" customWidth="1"/>
    <col min="13057" max="13057" width="44" customWidth="1"/>
    <col min="13058" max="13058" width="71.5703125" customWidth="1"/>
    <col min="13313" max="13313" width="44" customWidth="1"/>
    <col min="13314" max="13314" width="71.5703125" customWidth="1"/>
    <col min="13569" max="13569" width="44" customWidth="1"/>
    <col min="13570" max="13570" width="71.5703125" customWidth="1"/>
    <col min="13825" max="13825" width="44" customWidth="1"/>
    <col min="13826" max="13826" width="71.5703125" customWidth="1"/>
    <col min="14081" max="14081" width="44" customWidth="1"/>
    <col min="14082" max="14082" width="71.5703125" customWidth="1"/>
    <col min="14337" max="14337" width="44" customWidth="1"/>
    <col min="14338" max="14338" width="71.5703125" customWidth="1"/>
    <col min="14593" max="14593" width="44" customWidth="1"/>
    <col min="14594" max="14594" width="71.5703125" customWidth="1"/>
    <col min="14849" max="14849" width="44" customWidth="1"/>
    <col min="14850" max="14850" width="71.5703125" customWidth="1"/>
    <col min="15105" max="15105" width="44" customWidth="1"/>
    <col min="15106" max="15106" width="71.5703125" customWidth="1"/>
    <col min="15361" max="15361" width="44" customWidth="1"/>
    <col min="15362" max="15362" width="71.5703125" customWidth="1"/>
    <col min="15617" max="15617" width="44" customWidth="1"/>
    <col min="15618" max="15618" width="71.5703125" customWidth="1"/>
    <col min="15873" max="15873" width="44" customWidth="1"/>
    <col min="15874" max="15874" width="71.5703125" customWidth="1"/>
    <col min="16129" max="16129" width="44" customWidth="1"/>
    <col min="16130" max="16130" width="71.5703125" customWidth="1"/>
  </cols>
  <sheetData>
    <row r="1" spans="1:2" s="3" customFormat="1" ht="15.75" thickBot="1" x14ac:dyDescent="0.3">
      <c r="A1" s="1" t="s">
        <v>0</v>
      </c>
      <c r="B1" s="2" t="s">
        <v>1</v>
      </c>
    </row>
    <row r="2" spans="1:2" ht="15.75" thickBot="1" x14ac:dyDescent="0.3">
      <c r="A2" s="4" t="s">
        <v>2</v>
      </c>
      <c r="B2" s="5"/>
    </row>
    <row r="3" spans="1:2" ht="15.75" thickBot="1" x14ac:dyDescent="0.3">
      <c r="A3" s="6" t="s">
        <v>18</v>
      </c>
      <c r="B3" s="7">
        <v>700</v>
      </c>
    </row>
    <row r="4" spans="1:2" ht="15.75" thickBot="1" x14ac:dyDescent="0.3">
      <c r="A4" s="6"/>
      <c r="B4" s="7"/>
    </row>
    <row r="5" spans="1:2" ht="15.75" thickBot="1" x14ac:dyDescent="0.3">
      <c r="A5" s="8" t="s">
        <v>3</v>
      </c>
      <c r="B5" s="9">
        <f>SUM(B3:B4)</f>
        <v>700</v>
      </c>
    </row>
    <row r="6" spans="1:2" ht="15.75" thickBot="1" x14ac:dyDescent="0.3">
      <c r="A6" s="5" t="s">
        <v>4</v>
      </c>
      <c r="B6" s="10"/>
    </row>
    <row r="7" spans="1:2" ht="15.75" thickBot="1" x14ac:dyDescent="0.3">
      <c r="A7" s="6"/>
      <c r="B7" s="7"/>
    </row>
    <row r="8" spans="1:2" ht="15.75" thickBot="1" x14ac:dyDescent="0.3">
      <c r="A8" s="6"/>
      <c r="B8" s="7"/>
    </row>
    <row r="9" spans="1:2" ht="15.75" thickBot="1" x14ac:dyDescent="0.3">
      <c r="A9" s="8" t="s">
        <v>5</v>
      </c>
      <c r="B9" s="11">
        <f>SUM(B7:B8)</f>
        <v>0</v>
      </c>
    </row>
    <row r="10" spans="1:2" ht="15.75" thickBot="1" x14ac:dyDescent="0.3">
      <c r="A10" s="12" t="s">
        <v>6</v>
      </c>
      <c r="B10" s="11">
        <v>1000</v>
      </c>
    </row>
    <row r="11" spans="1:2" ht="15.75" thickBot="1" x14ac:dyDescent="0.3">
      <c r="A11" s="1" t="s">
        <v>7</v>
      </c>
      <c r="B11" s="13"/>
    </row>
    <row r="12" spans="1:2" ht="15.75" thickBot="1" x14ac:dyDescent="0.3">
      <c r="A12" s="5" t="s">
        <v>8</v>
      </c>
      <c r="B12" s="10"/>
    </row>
    <row r="13" spans="1:2" ht="15.75" thickBot="1" x14ac:dyDescent="0.3">
      <c r="A13" s="6" t="s">
        <v>9</v>
      </c>
      <c r="B13" s="7">
        <v>416</v>
      </c>
    </row>
    <row r="14" spans="1:2" ht="15.75" thickBot="1" x14ac:dyDescent="0.3">
      <c r="A14" s="6" t="s">
        <v>19</v>
      </c>
      <c r="B14" s="7">
        <v>44.55</v>
      </c>
    </row>
    <row r="15" spans="1:2" ht="15.75" thickBot="1" x14ac:dyDescent="0.3">
      <c r="A15" s="6" t="s">
        <v>20</v>
      </c>
      <c r="B15" s="7">
        <v>9.99</v>
      </c>
    </row>
    <row r="16" spans="1:2" ht="15.75" thickBot="1" x14ac:dyDescent="0.3">
      <c r="A16" s="6" t="s">
        <v>21</v>
      </c>
      <c r="B16" s="7">
        <v>19.989999999999998</v>
      </c>
    </row>
    <row r="17" spans="1:2" ht="15.75" thickBot="1" x14ac:dyDescent="0.3">
      <c r="A17" s="6" t="s">
        <v>22</v>
      </c>
      <c r="B17" s="7">
        <v>39.71</v>
      </c>
    </row>
    <row r="18" spans="1:2" ht="15.75" thickBot="1" x14ac:dyDescent="0.3">
      <c r="A18" s="6" t="s">
        <v>23</v>
      </c>
      <c r="B18" s="7">
        <v>19.5</v>
      </c>
    </row>
    <row r="19" spans="1:2" ht="15.75" thickBot="1" x14ac:dyDescent="0.3">
      <c r="A19" s="6" t="s">
        <v>24</v>
      </c>
      <c r="B19" s="7">
        <v>15.99</v>
      </c>
    </row>
    <row r="20" spans="1:2" ht="15.75" thickBot="1" x14ac:dyDescent="0.3">
      <c r="A20" s="6" t="s">
        <v>37</v>
      </c>
      <c r="B20" s="7">
        <v>18.55</v>
      </c>
    </row>
    <row r="21" spans="1:2" ht="15.75" thickBot="1" x14ac:dyDescent="0.3">
      <c r="A21" s="6" t="s">
        <v>30</v>
      </c>
      <c r="B21" s="7">
        <v>40</v>
      </c>
    </row>
    <row r="22" spans="1:2" ht="15.75" thickBot="1" x14ac:dyDescent="0.3">
      <c r="A22" s="6" t="s">
        <v>34</v>
      </c>
      <c r="B22" s="7">
        <v>88</v>
      </c>
    </row>
    <row r="23" spans="1:2" ht="15.75" thickBot="1" x14ac:dyDescent="0.3">
      <c r="A23" s="6" t="s">
        <v>26</v>
      </c>
      <c r="B23" s="7">
        <v>40</v>
      </c>
    </row>
    <row r="24" spans="1:2" ht="15.75" thickBot="1" x14ac:dyDescent="0.3">
      <c r="A24" s="6" t="s">
        <v>27</v>
      </c>
      <c r="B24" s="7">
        <v>40</v>
      </c>
    </row>
    <row r="25" spans="1:2" ht="15.75" thickBot="1" x14ac:dyDescent="0.3">
      <c r="A25" s="6" t="s">
        <v>28</v>
      </c>
      <c r="B25" s="7">
        <v>40</v>
      </c>
    </row>
    <row r="26" spans="1:2" ht="15.75" thickBot="1" x14ac:dyDescent="0.3">
      <c r="A26" s="6" t="s">
        <v>29</v>
      </c>
      <c r="B26" s="7">
        <v>40</v>
      </c>
    </row>
    <row r="27" spans="1:2" ht="15.75" thickBot="1" x14ac:dyDescent="0.3">
      <c r="A27" s="6" t="s">
        <v>10</v>
      </c>
      <c r="B27" s="14"/>
    </row>
    <row r="28" spans="1:2" ht="15.75" thickBot="1" x14ac:dyDescent="0.3">
      <c r="A28" s="6"/>
      <c r="B28" s="14"/>
    </row>
    <row r="29" spans="1:2" ht="15.75" thickBot="1" x14ac:dyDescent="0.3">
      <c r="A29" s="8" t="s">
        <v>11</v>
      </c>
      <c r="B29" s="11">
        <f>SUM(B13:B27)</f>
        <v>872.28</v>
      </c>
    </row>
    <row r="30" spans="1:2" ht="15.75" thickBot="1" x14ac:dyDescent="0.3">
      <c r="A30" s="15" t="s">
        <v>12</v>
      </c>
      <c r="B30" s="16"/>
    </row>
    <row r="31" spans="1:2" ht="15.75" thickBot="1" x14ac:dyDescent="0.3">
      <c r="A31" s="6" t="s">
        <v>25</v>
      </c>
      <c r="B31" s="7">
        <v>0</v>
      </c>
    </row>
    <row r="32" spans="1:2" ht="15.75" thickBot="1" x14ac:dyDescent="0.3">
      <c r="A32" s="17" t="s">
        <v>17</v>
      </c>
      <c r="B32" s="7">
        <v>0</v>
      </c>
    </row>
    <row r="33" spans="1:2" ht="15.75" thickBot="1" x14ac:dyDescent="0.3">
      <c r="A33" s="6"/>
      <c r="B33" s="14"/>
    </row>
    <row r="34" spans="1:2" ht="15.75" thickBot="1" x14ac:dyDescent="0.3">
      <c r="A34" s="8" t="s">
        <v>13</v>
      </c>
      <c r="B34" s="7">
        <f>SUM(B31:B33)</f>
        <v>0</v>
      </c>
    </row>
    <row r="35" spans="1:2" ht="15.75" thickBot="1" x14ac:dyDescent="0.3">
      <c r="A35" s="12" t="s">
        <v>14</v>
      </c>
      <c r="B35" s="11">
        <f>B34+B29</f>
        <v>872.28</v>
      </c>
    </row>
    <row r="36" spans="1:2" ht="15.75" thickBot="1" x14ac:dyDescent="0.3">
      <c r="A36" s="18" t="s">
        <v>15</v>
      </c>
      <c r="B36" s="11">
        <f>B10-B35</f>
        <v>127.72000000000003</v>
      </c>
    </row>
    <row r="37" spans="1:2" ht="15.75" thickBot="1" x14ac:dyDescent="0.3">
      <c r="A37" s="19" t="s">
        <v>16</v>
      </c>
      <c r="B37" s="20">
        <f>B36</f>
        <v>127.72000000000003</v>
      </c>
    </row>
    <row r="40" spans="1:2" x14ac:dyDescent="0.25">
      <c r="A40" t="s">
        <v>31</v>
      </c>
      <c r="B40" s="22">
        <f>Octobre!B41</f>
        <v>390.70000000000005</v>
      </c>
    </row>
    <row r="41" spans="1:2" x14ac:dyDescent="0.25">
      <c r="A41" t="s">
        <v>33</v>
      </c>
      <c r="B41" s="22">
        <f>B37</f>
        <v>127.72000000000003</v>
      </c>
    </row>
    <row r="42" spans="1:2" x14ac:dyDescent="0.25">
      <c r="A42" s="21" t="s">
        <v>32</v>
      </c>
      <c r="B42" s="23">
        <f>B40+B41</f>
        <v>518.42000000000007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3A52-6509-4D47-A6BE-7F512B861F68}">
  <dimension ref="A1:B42"/>
  <sheetViews>
    <sheetView tabSelected="1" topLeftCell="A8" workbookViewId="0">
      <selection activeCell="B23" sqref="B23"/>
    </sheetView>
  </sheetViews>
  <sheetFormatPr baseColWidth="10" defaultColWidth="9.140625" defaultRowHeight="15" x14ac:dyDescent="0.25"/>
  <cols>
    <col min="1" max="1" width="44" customWidth="1"/>
    <col min="2" max="2" width="71.5703125" customWidth="1"/>
    <col min="257" max="257" width="44" customWidth="1"/>
    <col min="258" max="258" width="71.5703125" customWidth="1"/>
    <col min="513" max="513" width="44" customWidth="1"/>
    <col min="514" max="514" width="71.5703125" customWidth="1"/>
    <col min="769" max="769" width="44" customWidth="1"/>
    <col min="770" max="770" width="71.5703125" customWidth="1"/>
    <col min="1025" max="1025" width="44" customWidth="1"/>
    <col min="1026" max="1026" width="71.5703125" customWidth="1"/>
    <col min="1281" max="1281" width="44" customWidth="1"/>
    <col min="1282" max="1282" width="71.5703125" customWidth="1"/>
    <col min="1537" max="1537" width="44" customWidth="1"/>
    <col min="1538" max="1538" width="71.5703125" customWidth="1"/>
    <col min="1793" max="1793" width="44" customWidth="1"/>
    <col min="1794" max="1794" width="71.5703125" customWidth="1"/>
    <col min="2049" max="2049" width="44" customWidth="1"/>
    <col min="2050" max="2050" width="71.5703125" customWidth="1"/>
    <col min="2305" max="2305" width="44" customWidth="1"/>
    <col min="2306" max="2306" width="71.5703125" customWidth="1"/>
    <col min="2561" max="2561" width="44" customWidth="1"/>
    <col min="2562" max="2562" width="71.5703125" customWidth="1"/>
    <col min="2817" max="2817" width="44" customWidth="1"/>
    <col min="2818" max="2818" width="71.5703125" customWidth="1"/>
    <col min="3073" max="3073" width="44" customWidth="1"/>
    <col min="3074" max="3074" width="71.5703125" customWidth="1"/>
    <col min="3329" max="3329" width="44" customWidth="1"/>
    <col min="3330" max="3330" width="71.5703125" customWidth="1"/>
    <col min="3585" max="3585" width="44" customWidth="1"/>
    <col min="3586" max="3586" width="71.5703125" customWidth="1"/>
    <col min="3841" max="3841" width="44" customWidth="1"/>
    <col min="3842" max="3842" width="71.5703125" customWidth="1"/>
    <col min="4097" max="4097" width="44" customWidth="1"/>
    <col min="4098" max="4098" width="71.5703125" customWidth="1"/>
    <col min="4353" max="4353" width="44" customWidth="1"/>
    <col min="4354" max="4354" width="71.5703125" customWidth="1"/>
    <col min="4609" max="4609" width="44" customWidth="1"/>
    <col min="4610" max="4610" width="71.5703125" customWidth="1"/>
    <col min="4865" max="4865" width="44" customWidth="1"/>
    <col min="4866" max="4866" width="71.5703125" customWidth="1"/>
    <col min="5121" max="5121" width="44" customWidth="1"/>
    <col min="5122" max="5122" width="71.5703125" customWidth="1"/>
    <col min="5377" max="5377" width="44" customWidth="1"/>
    <col min="5378" max="5378" width="71.5703125" customWidth="1"/>
    <col min="5633" max="5633" width="44" customWidth="1"/>
    <col min="5634" max="5634" width="71.5703125" customWidth="1"/>
    <col min="5889" max="5889" width="44" customWidth="1"/>
    <col min="5890" max="5890" width="71.5703125" customWidth="1"/>
    <col min="6145" max="6145" width="44" customWidth="1"/>
    <col min="6146" max="6146" width="71.5703125" customWidth="1"/>
    <col min="6401" max="6401" width="44" customWidth="1"/>
    <col min="6402" max="6402" width="71.5703125" customWidth="1"/>
    <col min="6657" max="6657" width="44" customWidth="1"/>
    <col min="6658" max="6658" width="71.5703125" customWidth="1"/>
    <col min="6913" max="6913" width="44" customWidth="1"/>
    <col min="6914" max="6914" width="71.5703125" customWidth="1"/>
    <col min="7169" max="7169" width="44" customWidth="1"/>
    <col min="7170" max="7170" width="71.5703125" customWidth="1"/>
    <col min="7425" max="7425" width="44" customWidth="1"/>
    <col min="7426" max="7426" width="71.5703125" customWidth="1"/>
    <col min="7681" max="7681" width="44" customWidth="1"/>
    <col min="7682" max="7682" width="71.5703125" customWidth="1"/>
    <col min="7937" max="7937" width="44" customWidth="1"/>
    <col min="7938" max="7938" width="71.5703125" customWidth="1"/>
    <col min="8193" max="8193" width="44" customWidth="1"/>
    <col min="8194" max="8194" width="71.5703125" customWidth="1"/>
    <col min="8449" max="8449" width="44" customWidth="1"/>
    <col min="8450" max="8450" width="71.5703125" customWidth="1"/>
    <col min="8705" max="8705" width="44" customWidth="1"/>
    <col min="8706" max="8706" width="71.5703125" customWidth="1"/>
    <col min="8961" max="8961" width="44" customWidth="1"/>
    <col min="8962" max="8962" width="71.5703125" customWidth="1"/>
    <col min="9217" max="9217" width="44" customWidth="1"/>
    <col min="9218" max="9218" width="71.5703125" customWidth="1"/>
    <col min="9473" max="9473" width="44" customWidth="1"/>
    <col min="9474" max="9474" width="71.5703125" customWidth="1"/>
    <col min="9729" max="9729" width="44" customWidth="1"/>
    <col min="9730" max="9730" width="71.5703125" customWidth="1"/>
    <col min="9985" max="9985" width="44" customWidth="1"/>
    <col min="9986" max="9986" width="71.5703125" customWidth="1"/>
    <col min="10241" max="10241" width="44" customWidth="1"/>
    <col min="10242" max="10242" width="71.5703125" customWidth="1"/>
    <col min="10497" max="10497" width="44" customWidth="1"/>
    <col min="10498" max="10498" width="71.5703125" customWidth="1"/>
    <col min="10753" max="10753" width="44" customWidth="1"/>
    <col min="10754" max="10754" width="71.5703125" customWidth="1"/>
    <col min="11009" max="11009" width="44" customWidth="1"/>
    <col min="11010" max="11010" width="71.5703125" customWidth="1"/>
    <col min="11265" max="11265" width="44" customWidth="1"/>
    <col min="11266" max="11266" width="71.5703125" customWidth="1"/>
    <col min="11521" max="11521" width="44" customWidth="1"/>
    <col min="11522" max="11522" width="71.5703125" customWidth="1"/>
    <col min="11777" max="11777" width="44" customWidth="1"/>
    <col min="11778" max="11778" width="71.5703125" customWidth="1"/>
    <col min="12033" max="12033" width="44" customWidth="1"/>
    <col min="12034" max="12034" width="71.5703125" customWidth="1"/>
    <col min="12289" max="12289" width="44" customWidth="1"/>
    <col min="12290" max="12290" width="71.5703125" customWidth="1"/>
    <col min="12545" max="12545" width="44" customWidth="1"/>
    <col min="12546" max="12546" width="71.5703125" customWidth="1"/>
    <col min="12801" max="12801" width="44" customWidth="1"/>
    <col min="12802" max="12802" width="71.5703125" customWidth="1"/>
    <col min="13057" max="13057" width="44" customWidth="1"/>
    <col min="13058" max="13058" width="71.5703125" customWidth="1"/>
    <col min="13313" max="13313" width="44" customWidth="1"/>
    <col min="13314" max="13314" width="71.5703125" customWidth="1"/>
    <col min="13569" max="13569" width="44" customWidth="1"/>
    <col min="13570" max="13570" width="71.5703125" customWidth="1"/>
    <col min="13825" max="13825" width="44" customWidth="1"/>
    <col min="13826" max="13826" width="71.5703125" customWidth="1"/>
    <col min="14081" max="14081" width="44" customWidth="1"/>
    <col min="14082" max="14082" width="71.5703125" customWidth="1"/>
    <col min="14337" max="14337" width="44" customWidth="1"/>
    <col min="14338" max="14338" width="71.5703125" customWidth="1"/>
    <col min="14593" max="14593" width="44" customWidth="1"/>
    <col min="14594" max="14594" width="71.5703125" customWidth="1"/>
    <col min="14849" max="14849" width="44" customWidth="1"/>
    <col min="14850" max="14850" width="71.5703125" customWidth="1"/>
    <col min="15105" max="15105" width="44" customWidth="1"/>
    <col min="15106" max="15106" width="71.5703125" customWidth="1"/>
    <col min="15361" max="15361" width="44" customWidth="1"/>
    <col min="15362" max="15362" width="71.5703125" customWidth="1"/>
    <col min="15617" max="15617" width="44" customWidth="1"/>
    <col min="15618" max="15618" width="71.5703125" customWidth="1"/>
    <col min="15873" max="15873" width="44" customWidth="1"/>
    <col min="15874" max="15874" width="71.5703125" customWidth="1"/>
    <col min="16129" max="16129" width="44" customWidth="1"/>
    <col min="16130" max="16130" width="71.5703125" customWidth="1"/>
  </cols>
  <sheetData>
    <row r="1" spans="1:2" s="3" customFormat="1" ht="15.75" thickBot="1" x14ac:dyDescent="0.3">
      <c r="A1" s="1" t="s">
        <v>0</v>
      </c>
      <c r="B1" s="2" t="s">
        <v>1</v>
      </c>
    </row>
    <row r="2" spans="1:2" ht="15.75" thickBot="1" x14ac:dyDescent="0.3">
      <c r="A2" s="4" t="s">
        <v>2</v>
      </c>
      <c r="B2" s="5"/>
    </row>
    <row r="3" spans="1:2" ht="15.75" thickBot="1" x14ac:dyDescent="0.3">
      <c r="A3" s="6" t="s">
        <v>18</v>
      </c>
      <c r="B3" s="7">
        <v>700</v>
      </c>
    </row>
    <row r="4" spans="1:2" ht="15.75" thickBot="1" x14ac:dyDescent="0.3">
      <c r="A4" s="6"/>
      <c r="B4" s="7"/>
    </row>
    <row r="5" spans="1:2" ht="15.75" thickBot="1" x14ac:dyDescent="0.3">
      <c r="A5" s="8" t="s">
        <v>3</v>
      </c>
      <c r="B5" s="9">
        <f>SUM(B3:B4)</f>
        <v>700</v>
      </c>
    </row>
    <row r="6" spans="1:2" ht="15.75" thickBot="1" x14ac:dyDescent="0.3">
      <c r="A6" s="5" t="s">
        <v>4</v>
      </c>
      <c r="B6" s="10"/>
    </row>
    <row r="7" spans="1:2" ht="15.75" thickBot="1" x14ac:dyDescent="0.3">
      <c r="A7" s="6"/>
      <c r="B7" s="7"/>
    </row>
    <row r="8" spans="1:2" ht="15.75" thickBot="1" x14ac:dyDescent="0.3">
      <c r="A8" s="6"/>
      <c r="B8" s="7"/>
    </row>
    <row r="9" spans="1:2" ht="15.75" thickBot="1" x14ac:dyDescent="0.3">
      <c r="A9" s="8" t="s">
        <v>5</v>
      </c>
      <c r="B9" s="11">
        <f>SUM(B7:B8)</f>
        <v>0</v>
      </c>
    </row>
    <row r="10" spans="1:2" ht="15.75" thickBot="1" x14ac:dyDescent="0.3">
      <c r="A10" s="12" t="s">
        <v>6</v>
      </c>
      <c r="B10" s="11">
        <f>B9+B5</f>
        <v>700</v>
      </c>
    </row>
    <row r="11" spans="1:2" ht="15.75" thickBot="1" x14ac:dyDescent="0.3">
      <c r="A11" s="1" t="s">
        <v>7</v>
      </c>
      <c r="B11" s="13"/>
    </row>
    <row r="12" spans="1:2" ht="15.75" thickBot="1" x14ac:dyDescent="0.3">
      <c r="A12" s="5" t="s">
        <v>8</v>
      </c>
      <c r="B12" s="10"/>
    </row>
    <row r="13" spans="1:2" ht="15.75" thickBot="1" x14ac:dyDescent="0.3">
      <c r="A13" s="6" t="s">
        <v>9</v>
      </c>
      <c r="B13" s="7">
        <v>77.03</v>
      </c>
    </row>
    <row r="14" spans="1:2" ht="15.75" thickBot="1" x14ac:dyDescent="0.3">
      <c r="A14" s="6" t="s">
        <v>19</v>
      </c>
      <c r="B14" s="7">
        <v>44.55</v>
      </c>
    </row>
    <row r="15" spans="1:2" ht="15.75" thickBot="1" x14ac:dyDescent="0.3">
      <c r="A15" s="6" t="s">
        <v>20</v>
      </c>
      <c r="B15" s="7">
        <v>9.99</v>
      </c>
    </row>
    <row r="16" spans="1:2" ht="15.75" thickBot="1" x14ac:dyDescent="0.3">
      <c r="A16" s="6" t="s">
        <v>21</v>
      </c>
      <c r="B16" s="7">
        <v>19.989999999999998</v>
      </c>
    </row>
    <row r="17" spans="1:2" ht="15.75" thickBot="1" x14ac:dyDescent="0.3">
      <c r="A17" s="6" t="s">
        <v>22</v>
      </c>
      <c r="B17" s="7">
        <v>39.71</v>
      </c>
    </row>
    <row r="18" spans="1:2" ht="15.75" thickBot="1" x14ac:dyDescent="0.3">
      <c r="A18" s="6" t="s">
        <v>23</v>
      </c>
      <c r="B18" s="7">
        <v>19.5</v>
      </c>
    </row>
    <row r="19" spans="1:2" ht="15.75" thickBot="1" x14ac:dyDescent="0.3">
      <c r="A19" s="6" t="s">
        <v>24</v>
      </c>
      <c r="B19" s="7">
        <v>15.99</v>
      </c>
    </row>
    <row r="20" spans="1:2" ht="15.75" thickBot="1" x14ac:dyDescent="0.3">
      <c r="A20" s="6" t="s">
        <v>38</v>
      </c>
      <c r="B20" s="7">
        <v>15</v>
      </c>
    </row>
    <row r="21" spans="1:2" ht="15.75" thickBot="1" x14ac:dyDescent="0.3">
      <c r="A21" s="6" t="s">
        <v>30</v>
      </c>
      <c r="B21" s="7">
        <v>40</v>
      </c>
    </row>
    <row r="22" spans="1:2" ht="15.75" thickBot="1" x14ac:dyDescent="0.3">
      <c r="A22" s="6" t="s">
        <v>34</v>
      </c>
      <c r="B22" s="7">
        <v>88.6</v>
      </c>
    </row>
    <row r="23" spans="1:2" ht="15.75" thickBot="1" x14ac:dyDescent="0.3">
      <c r="A23" s="6" t="s">
        <v>26</v>
      </c>
      <c r="B23" s="7">
        <v>40</v>
      </c>
    </row>
    <row r="24" spans="1:2" ht="15.75" thickBot="1" x14ac:dyDescent="0.3">
      <c r="A24" s="6" t="s">
        <v>27</v>
      </c>
      <c r="B24" s="7">
        <v>40</v>
      </c>
    </row>
    <row r="25" spans="1:2" ht="15.75" thickBot="1" x14ac:dyDescent="0.3">
      <c r="A25" s="6" t="s">
        <v>28</v>
      </c>
      <c r="B25" s="7">
        <v>40</v>
      </c>
    </row>
    <row r="26" spans="1:2" ht="15.75" thickBot="1" x14ac:dyDescent="0.3">
      <c r="A26" s="6" t="s">
        <v>29</v>
      </c>
      <c r="B26" s="7">
        <v>40</v>
      </c>
    </row>
    <row r="27" spans="1:2" ht="15.75" thickBot="1" x14ac:dyDescent="0.3">
      <c r="A27" s="6" t="s">
        <v>10</v>
      </c>
      <c r="B27" s="14"/>
    </row>
    <row r="28" spans="1:2" ht="15.75" thickBot="1" x14ac:dyDescent="0.3">
      <c r="A28" s="6"/>
      <c r="B28" s="14"/>
    </row>
    <row r="29" spans="1:2" ht="15.75" thickBot="1" x14ac:dyDescent="0.3">
      <c r="A29" s="8" t="s">
        <v>11</v>
      </c>
      <c r="B29" s="11">
        <f>SUM(B13:B27)</f>
        <v>530.36</v>
      </c>
    </row>
    <row r="30" spans="1:2" ht="15.75" thickBot="1" x14ac:dyDescent="0.3">
      <c r="A30" s="15" t="s">
        <v>12</v>
      </c>
      <c r="B30" s="16"/>
    </row>
    <row r="31" spans="1:2" ht="15.75" thickBot="1" x14ac:dyDescent="0.3">
      <c r="A31" s="6" t="s">
        <v>25</v>
      </c>
      <c r="B31" s="7">
        <v>0</v>
      </c>
    </row>
    <row r="32" spans="1:2" ht="15.75" thickBot="1" x14ac:dyDescent="0.3">
      <c r="A32" s="17" t="s">
        <v>17</v>
      </c>
      <c r="B32" s="7">
        <v>0</v>
      </c>
    </row>
    <row r="33" spans="1:2" ht="15.75" thickBot="1" x14ac:dyDescent="0.3">
      <c r="A33" s="6"/>
      <c r="B33" s="14"/>
    </row>
    <row r="34" spans="1:2" ht="15.75" thickBot="1" x14ac:dyDescent="0.3">
      <c r="A34" s="8" t="s">
        <v>13</v>
      </c>
      <c r="B34" s="7">
        <f>SUM(B31:B33)</f>
        <v>0</v>
      </c>
    </row>
    <row r="35" spans="1:2" ht="15.75" thickBot="1" x14ac:dyDescent="0.3">
      <c r="A35" s="12" t="s">
        <v>14</v>
      </c>
      <c r="B35" s="11">
        <f>B34+B29</f>
        <v>530.36</v>
      </c>
    </row>
    <row r="36" spans="1:2" ht="15.75" thickBot="1" x14ac:dyDescent="0.3">
      <c r="A36" s="18" t="s">
        <v>15</v>
      </c>
      <c r="B36" s="11">
        <f>B10-B35</f>
        <v>169.64</v>
      </c>
    </row>
    <row r="37" spans="1:2" ht="15.75" thickBot="1" x14ac:dyDescent="0.3">
      <c r="A37" s="19" t="s">
        <v>16</v>
      </c>
      <c r="B37" s="20">
        <f>B36</f>
        <v>169.64</v>
      </c>
    </row>
    <row r="40" spans="1:2" x14ac:dyDescent="0.25">
      <c r="A40" t="s">
        <v>31</v>
      </c>
      <c r="B40" s="22">
        <f>Novembre!B42</f>
        <v>518.42000000000007</v>
      </c>
    </row>
    <row r="41" spans="1:2" x14ac:dyDescent="0.25">
      <c r="A41" t="s">
        <v>33</v>
      </c>
      <c r="B41" s="22">
        <f>B37</f>
        <v>169.64</v>
      </c>
    </row>
    <row r="42" spans="1:2" x14ac:dyDescent="0.25">
      <c r="A42" s="21" t="s">
        <v>32</v>
      </c>
      <c r="B42" s="23">
        <f>B40+B41</f>
        <v>688.06000000000006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Septembre</vt:lpstr>
      <vt:lpstr>Octobre</vt:lpstr>
      <vt:lpstr>Novembre</vt:lpstr>
      <vt:lpstr>Décembre</vt:lpstr>
    </vt:vector>
  </TitlesOfParts>
  <Company>EEAS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BISSENGUE Claudia Clara (EEAS-BANGUI)</dc:creator>
  <cp:lastModifiedBy>Jeannette NGELE BISSENGUE</cp:lastModifiedBy>
  <dcterms:created xsi:type="dcterms:W3CDTF">2025-01-15T09:32:12Z</dcterms:created>
  <dcterms:modified xsi:type="dcterms:W3CDTF">2025-12-13T12:17:20Z</dcterms:modified>
</cp:coreProperties>
</file>